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filterPrivacy="1" defaultThemeVersion="202300"/>
  <xr:revisionPtr revIDLastSave="0" documentId="13_ncr:1_{A23AC9F9-09BF-C94C-BE94-A7B73D7060AD}" xr6:coauthVersionLast="47" xr6:coauthVersionMax="47" xr10:uidLastSave="{00000000-0000-0000-0000-000000000000}"/>
  <bookViews>
    <workbookView xWindow="0" yWindow="620" windowWidth="35840" windowHeight="20960" activeTab="14" xr2:uid="{C82563B7-644B-6C46-956E-0C5F5056717F}"/>
  </bookViews>
  <sheets>
    <sheet name="Summary" sheetId="18" r:id="rId1"/>
    <sheet name="Assumptions" sheetId="1" r:id="rId2"/>
    <sheet name="Income Statement" sheetId="2" r:id="rId3"/>
    <sheet name="Balance Sheet" sheetId="3" r:id="rId4"/>
    <sheet name="Cash Flow Statement" sheetId="4" r:id="rId5"/>
    <sheet name="Scenarios" sheetId="6" r:id="rId6"/>
    <sheet name="Payback" sheetId="7" r:id="rId7"/>
    <sheet name="PP&amp;E Schedule" sheetId="8" r:id="rId8"/>
    <sheet name="Working Capital" sheetId="9" r:id="rId9"/>
    <sheet name="Debt Schedule" sheetId="10" r:id="rId10"/>
    <sheet name="Credit Ratios" sheetId="11" r:id="rId11"/>
    <sheet name="Sensitivity" sheetId="12" r:id="rId12"/>
    <sheet name="DCF" sheetId="13" r:id="rId13"/>
    <sheet name="Comps" sheetId="14" r:id="rId14"/>
    <sheet name="Valuation Summary" sheetId="15" r:id="rId15"/>
    <sheet name="Checks" sheetId="17" r:id="rId16"/>
    <sheet name="Share Count" sheetId="16" r:id="rId17"/>
    <sheet name="Notes" sheetId="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8" l="1"/>
  <c r="C26" i="18"/>
  <c r="C27" i="18"/>
  <c r="C28" i="18"/>
  <c r="B25" i="18"/>
  <c r="B26" i="18"/>
  <c r="B27" i="18"/>
  <c r="A25" i="18"/>
  <c r="A26" i="18"/>
  <c r="A27" i="18"/>
  <c r="A28" i="18"/>
  <c r="C24" i="18"/>
  <c r="A24" i="18"/>
  <c r="E16" i="18"/>
  <c r="E17" i="18"/>
  <c r="E18" i="18"/>
  <c r="E19" i="18"/>
  <c r="E20" i="18"/>
  <c r="D16" i="18"/>
  <c r="D17" i="18"/>
  <c r="D18" i="18"/>
  <c r="D19" i="18"/>
  <c r="D20" i="18"/>
  <c r="C16" i="18"/>
  <c r="C17" i="18"/>
  <c r="C18" i="18"/>
  <c r="C19" i="18"/>
  <c r="C20" i="18"/>
  <c r="D15" i="18"/>
  <c r="E15" i="18"/>
  <c r="C15" i="18"/>
  <c r="B12" i="18"/>
  <c r="B9" i="18"/>
  <c r="B8" i="18"/>
  <c r="B7" i="18"/>
  <c r="B6" i="18"/>
  <c r="C5" i="18"/>
  <c r="D5" i="18"/>
  <c r="E5" i="18"/>
  <c r="F5" i="18"/>
  <c r="G5" i="18"/>
  <c r="B5" i="18"/>
  <c r="C8" i="17"/>
  <c r="C9" i="17"/>
  <c r="C6" i="17"/>
  <c r="B12" i="17"/>
  <c r="C12" i="17" s="1"/>
  <c r="B9" i="17" a="1"/>
  <c r="B8" i="17" a="1"/>
  <c r="B6" i="17" a="1"/>
  <c r="B2" i="6"/>
  <c r="B2" i="18" s="1"/>
  <c r="B23" i="13"/>
  <c r="F17" i="1"/>
  <c r="F21" i="2" s="1"/>
  <c r="G17" i="1"/>
  <c r="G21" i="2" s="1"/>
  <c r="H17" i="1"/>
  <c r="H21" i="2" s="1"/>
  <c r="I17" i="1"/>
  <c r="I21" i="2" s="1"/>
  <c r="F16" i="1"/>
  <c r="F20" i="2" s="1"/>
  <c r="G16" i="1"/>
  <c r="G20" i="2" s="1"/>
  <c r="H16" i="1"/>
  <c r="H20" i="2" s="1"/>
  <c r="I16" i="1"/>
  <c r="I20" i="2" s="1"/>
  <c r="E17" i="1"/>
  <c r="E16" i="1"/>
  <c r="E20" i="2" s="1"/>
  <c r="F5" i="16"/>
  <c r="F6" i="16"/>
  <c r="F8" i="16"/>
  <c r="G5" i="16" s="1"/>
  <c r="F9" i="16"/>
  <c r="E5" i="16"/>
  <c r="B8" i="15"/>
  <c r="B28" i="18" s="1"/>
  <c r="B7" i="15"/>
  <c r="G19" i="14"/>
  <c r="F19" i="14"/>
  <c r="E19" i="14"/>
  <c r="D19" i="14"/>
  <c r="C19" i="14"/>
  <c r="B19" i="14"/>
  <c r="G18" i="14"/>
  <c r="F18" i="14"/>
  <c r="E18" i="14"/>
  <c r="D18" i="14"/>
  <c r="C18" i="14"/>
  <c r="B18" i="14"/>
  <c r="M12" i="14"/>
  <c r="N12" i="14"/>
  <c r="M11" i="14"/>
  <c r="N11" i="14"/>
  <c r="K14" i="14"/>
  <c r="N14" i="14"/>
  <c r="L12" i="14"/>
  <c r="L11" i="14"/>
  <c r="J14" i="14"/>
  <c r="I14" i="14"/>
  <c r="G14" i="14"/>
  <c r="F14" i="14"/>
  <c r="C14" i="14"/>
  <c r="N4" i="14"/>
  <c r="N5" i="14"/>
  <c r="N6" i="14"/>
  <c r="N7" i="14"/>
  <c r="N8" i="14"/>
  <c r="N9" i="14"/>
  <c r="M5" i="14"/>
  <c r="M6" i="14"/>
  <c r="M7" i="14"/>
  <c r="M8" i="14"/>
  <c r="M9" i="14"/>
  <c r="L5" i="14"/>
  <c r="L6" i="14"/>
  <c r="L7" i="14"/>
  <c r="L8" i="14"/>
  <c r="L9" i="14"/>
  <c r="H5" i="14"/>
  <c r="H6" i="14"/>
  <c r="H7" i="14"/>
  <c r="H8" i="14"/>
  <c r="H9" i="14"/>
  <c r="M4" i="14"/>
  <c r="L4" i="14"/>
  <c r="H4" i="14"/>
  <c r="E6" i="14"/>
  <c r="E7" i="14"/>
  <c r="E8" i="14"/>
  <c r="E9" i="14"/>
  <c r="E5" i="14"/>
  <c r="E4" i="14"/>
  <c r="B46" i="13"/>
  <c r="B42" i="13"/>
  <c r="B41" i="13"/>
  <c r="F33" i="13"/>
  <c r="G33" i="13" s="1"/>
  <c r="H33" i="13" s="1"/>
  <c r="I33" i="13" s="1"/>
  <c r="B18" i="13"/>
  <c r="B25" i="13"/>
  <c r="B20" i="13"/>
  <c r="B21" i="13" s="1"/>
  <c r="F8" i="13"/>
  <c r="G8" i="13"/>
  <c r="H8" i="13"/>
  <c r="I8" i="13"/>
  <c r="E8" i="13"/>
  <c r="E7" i="13"/>
  <c r="F4" i="13"/>
  <c r="G4" i="13"/>
  <c r="H4" i="13"/>
  <c r="I4" i="13"/>
  <c r="E4" i="13"/>
  <c r="C8" i="12"/>
  <c r="E5" i="1"/>
  <c r="C5" i="1"/>
  <c r="D5" i="1"/>
  <c r="B5" i="1"/>
  <c r="G5" i="1"/>
  <c r="H5" i="1"/>
  <c r="I5" i="1"/>
  <c r="F5" i="1"/>
  <c r="F3" i="1"/>
  <c r="G3" i="1"/>
  <c r="H3" i="1"/>
  <c r="I3" i="1"/>
  <c r="E3" i="1"/>
  <c r="E2" i="2" s="1"/>
  <c r="F4" i="11"/>
  <c r="G4" i="11"/>
  <c r="H4" i="11"/>
  <c r="I4" i="11"/>
  <c r="E4" i="11"/>
  <c r="D10" i="10"/>
  <c r="E11" i="2"/>
  <c r="E20" i="10"/>
  <c r="E19" i="10"/>
  <c r="E18" i="10"/>
  <c r="F17" i="10"/>
  <c r="G17" i="10"/>
  <c r="H17" i="10"/>
  <c r="I17" i="10"/>
  <c r="E17" i="10"/>
  <c r="I16" i="10"/>
  <c r="F16" i="10"/>
  <c r="G16" i="10"/>
  <c r="H16" i="10"/>
  <c r="E16" i="10"/>
  <c r="F27" i="3"/>
  <c r="G27" i="3"/>
  <c r="H27" i="3"/>
  <c r="I27" i="3"/>
  <c r="E27" i="3"/>
  <c r="I40" i="4"/>
  <c r="H40" i="4"/>
  <c r="G40" i="4"/>
  <c r="G46" i="4" s="1"/>
  <c r="F40" i="4"/>
  <c r="E40" i="4"/>
  <c r="I39" i="4"/>
  <c r="H39" i="4"/>
  <c r="G39" i="4"/>
  <c r="F39" i="4"/>
  <c r="E39" i="4"/>
  <c r="I22" i="3"/>
  <c r="H22" i="3"/>
  <c r="G22" i="3"/>
  <c r="F22" i="3"/>
  <c r="E22" i="3"/>
  <c r="E14" i="10"/>
  <c r="F14" i="10"/>
  <c r="G14" i="10"/>
  <c r="H14" i="10"/>
  <c r="I14" i="10"/>
  <c r="D14" i="10"/>
  <c r="F12" i="10"/>
  <c r="F13" i="10" s="1"/>
  <c r="G12" i="10"/>
  <c r="H12" i="10"/>
  <c r="G13" i="10"/>
  <c r="H13" i="10"/>
  <c r="I13" i="10"/>
  <c r="E13" i="10"/>
  <c r="E12" i="10"/>
  <c r="D13" i="10"/>
  <c r="D12" i="10"/>
  <c r="I5" i="10"/>
  <c r="H5" i="10"/>
  <c r="G5" i="10"/>
  <c r="F5" i="10"/>
  <c r="E5" i="10"/>
  <c r="E7" i="10" s="1"/>
  <c r="F6" i="10"/>
  <c r="G6" i="10"/>
  <c r="H6" i="10"/>
  <c r="I6" i="10"/>
  <c r="E6" i="10"/>
  <c r="E4" i="10"/>
  <c r="D7" i="10"/>
  <c r="E9" i="9"/>
  <c r="F9" i="9"/>
  <c r="G9" i="9"/>
  <c r="H9" i="9"/>
  <c r="I9" i="9"/>
  <c r="D9" i="9"/>
  <c r="D14" i="9"/>
  <c r="D13" i="9"/>
  <c r="D12" i="9"/>
  <c r="D11" i="9"/>
  <c r="E8" i="9"/>
  <c r="F8" i="9"/>
  <c r="G8" i="9"/>
  <c r="H8" i="9"/>
  <c r="I8" i="9"/>
  <c r="D8" i="9"/>
  <c r="E7" i="9"/>
  <c r="F7" i="9"/>
  <c r="G7" i="9"/>
  <c r="H7" i="9"/>
  <c r="I7" i="9"/>
  <c r="D7" i="9"/>
  <c r="D5" i="9"/>
  <c r="D4" i="9"/>
  <c r="E9" i="8"/>
  <c r="E6" i="8"/>
  <c r="E4" i="8"/>
  <c r="E26" i="1"/>
  <c r="F26" i="1"/>
  <c r="G26" i="1"/>
  <c r="H26" i="1"/>
  <c r="I26" i="1"/>
  <c r="F3" i="6"/>
  <c r="G3" i="6"/>
  <c r="H3" i="6"/>
  <c r="I3" i="6"/>
  <c r="E3" i="6"/>
  <c r="F46" i="4"/>
  <c r="H46" i="4"/>
  <c r="I46" i="4"/>
  <c r="F10" i="4"/>
  <c r="G10" i="4"/>
  <c r="H10" i="4"/>
  <c r="I10" i="4"/>
  <c r="F9" i="4"/>
  <c r="G9" i="4"/>
  <c r="H9" i="4"/>
  <c r="I9" i="4"/>
  <c r="F7" i="4"/>
  <c r="G7" i="4"/>
  <c r="H7" i="4"/>
  <c r="I7" i="4"/>
  <c r="F36" i="3"/>
  <c r="G36" i="3" s="1"/>
  <c r="H36" i="3" s="1"/>
  <c r="I36" i="3" s="1"/>
  <c r="F33" i="3"/>
  <c r="G33" i="3"/>
  <c r="H33" i="3"/>
  <c r="I33" i="3"/>
  <c r="F32" i="3"/>
  <c r="G32" i="3"/>
  <c r="H32" i="3" s="1"/>
  <c r="I32" i="3" s="1"/>
  <c r="F31" i="3"/>
  <c r="G31" i="3" s="1"/>
  <c r="H31" i="3" s="1"/>
  <c r="I31" i="3" s="1"/>
  <c r="F28" i="3"/>
  <c r="G28" i="3"/>
  <c r="H28" i="3"/>
  <c r="I28" i="3"/>
  <c r="F24" i="3"/>
  <c r="G24" i="3"/>
  <c r="H24" i="3" s="1"/>
  <c r="I24" i="3" s="1"/>
  <c r="F23" i="3"/>
  <c r="G23" i="3" s="1"/>
  <c r="H23" i="3" s="1"/>
  <c r="I23" i="3" s="1"/>
  <c r="F21" i="3"/>
  <c r="G21" i="3" s="1"/>
  <c r="H21" i="3" s="1"/>
  <c r="I21" i="3" s="1"/>
  <c r="F15" i="3"/>
  <c r="G15" i="3"/>
  <c r="H15" i="3" s="1"/>
  <c r="I15" i="3" s="1"/>
  <c r="F14" i="3"/>
  <c r="G14" i="3"/>
  <c r="H14" i="3"/>
  <c r="I14" i="3" s="1"/>
  <c r="F13" i="3"/>
  <c r="G13" i="3"/>
  <c r="H13" i="3" s="1"/>
  <c r="I13" i="3" s="1"/>
  <c r="F12" i="3"/>
  <c r="G12" i="3"/>
  <c r="H12" i="3"/>
  <c r="I12" i="3" s="1"/>
  <c r="F8" i="3"/>
  <c r="G8" i="3" s="1"/>
  <c r="H8" i="3" s="1"/>
  <c r="I8" i="3" s="1"/>
  <c r="F5" i="3"/>
  <c r="G5" i="3" s="1"/>
  <c r="H5" i="3" s="1"/>
  <c r="I5" i="3" s="1"/>
  <c r="F15" i="2"/>
  <c r="G15" i="2"/>
  <c r="H15" i="2"/>
  <c r="I15" i="2"/>
  <c r="F10" i="2"/>
  <c r="G10" i="2"/>
  <c r="H10" i="2"/>
  <c r="I10" i="2"/>
  <c r="F7" i="2"/>
  <c r="G7" i="2"/>
  <c r="H7" i="2"/>
  <c r="I7" i="2"/>
  <c r="E46" i="4"/>
  <c r="E66" i="4" s="1"/>
  <c r="E9" i="4"/>
  <c r="E7" i="4"/>
  <c r="E32" i="3"/>
  <c r="E14" i="3"/>
  <c r="E33" i="3"/>
  <c r="E31" i="3"/>
  <c r="E28" i="3"/>
  <c r="E23" i="3"/>
  <c r="E24" i="3"/>
  <c r="E21" i="3"/>
  <c r="E15" i="3"/>
  <c r="E13" i="3"/>
  <c r="E12" i="3"/>
  <c r="E8" i="3"/>
  <c r="E5" i="3"/>
  <c r="E6" i="4"/>
  <c r="C26" i="1"/>
  <c r="D26" i="1"/>
  <c r="B26" i="1"/>
  <c r="D27" i="1"/>
  <c r="C27" i="1"/>
  <c r="D23" i="1"/>
  <c r="C23" i="1"/>
  <c r="B23" i="1"/>
  <c r="D22" i="1"/>
  <c r="C22" i="1"/>
  <c r="B22" i="1"/>
  <c r="D21" i="1"/>
  <c r="C21" i="1"/>
  <c r="B21" i="1"/>
  <c r="E21" i="2"/>
  <c r="E15" i="2"/>
  <c r="E36" i="3" s="1"/>
  <c r="E10" i="2"/>
  <c r="E10" i="4" s="1"/>
  <c r="E7" i="2"/>
  <c r="D9" i="1"/>
  <c r="C9" i="1"/>
  <c r="B9" i="1"/>
  <c r="D3" i="1"/>
  <c r="C3" i="1"/>
  <c r="D7" i="1"/>
  <c r="C7" i="1"/>
  <c r="B7" i="1"/>
  <c r="D6" i="1"/>
  <c r="C6" i="1"/>
  <c r="B6" i="1"/>
  <c r="D66" i="4"/>
  <c r="B64" i="4"/>
  <c r="D63" i="4"/>
  <c r="B63" i="4"/>
  <c r="D46" i="4"/>
  <c r="D32" i="4"/>
  <c r="D65" i="4" s="1"/>
  <c r="C32" i="4"/>
  <c r="C65" i="4" s="1"/>
  <c r="D23" i="4"/>
  <c r="D47" i="4" s="1"/>
  <c r="D22" i="4"/>
  <c r="C46" i="4"/>
  <c r="C66" i="4" s="1"/>
  <c r="C22" i="4"/>
  <c r="C63" i="4" s="1"/>
  <c r="B22" i="4"/>
  <c r="B23" i="4"/>
  <c r="B47" i="4" s="1"/>
  <c r="B46" i="4"/>
  <c r="B66" i="4" s="1"/>
  <c r="B32" i="4"/>
  <c r="B65" i="4" s="1"/>
  <c r="D39" i="3"/>
  <c r="C39" i="3"/>
  <c r="B39" i="3"/>
  <c r="D38" i="3"/>
  <c r="C38" i="3"/>
  <c r="B38" i="3"/>
  <c r="D35" i="3"/>
  <c r="C35" i="3"/>
  <c r="B35" i="3"/>
  <c r="B52" i="3"/>
  <c r="D52" i="3"/>
  <c r="B25" i="3"/>
  <c r="B9" i="3"/>
  <c r="B49" i="3" s="1"/>
  <c r="D25" i="3"/>
  <c r="D51" i="3" s="1"/>
  <c r="D9" i="3"/>
  <c r="D49" i="3" s="1"/>
  <c r="C37" i="3"/>
  <c r="C53" i="3" s="1"/>
  <c r="C25" i="3"/>
  <c r="C51" i="3" s="1"/>
  <c r="C9" i="3"/>
  <c r="C49" i="3" s="1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16" i="2"/>
  <c r="C16" i="2"/>
  <c r="B16" i="2"/>
  <c r="D14" i="2"/>
  <c r="C14" i="2"/>
  <c r="B14" i="2"/>
  <c r="D12" i="2"/>
  <c r="D9" i="2"/>
  <c r="C9" i="2"/>
  <c r="C12" i="2" s="1"/>
  <c r="B9" i="2"/>
  <c r="D8" i="2"/>
  <c r="D4" i="2"/>
  <c r="C8" i="2"/>
  <c r="C4" i="2"/>
  <c r="B12" i="2"/>
  <c r="B8" i="2"/>
  <c r="B4" i="2"/>
  <c r="E4" i="9" l="1"/>
  <c r="C6" i="18"/>
  <c r="J2" i="6"/>
  <c r="J2" i="10"/>
  <c r="J2" i="9"/>
  <c r="J2" i="8"/>
  <c r="J2" i="7"/>
  <c r="D14" i="14"/>
  <c r="E14" i="14" s="1"/>
  <c r="H14" i="14" s="1"/>
  <c r="B44" i="13"/>
  <c r="G6" i="16"/>
  <c r="G8" i="16" s="1"/>
  <c r="E6" i="16"/>
  <c r="E8" i="16" s="1"/>
  <c r="E9" i="16" s="1"/>
  <c r="B24" i="13"/>
  <c r="J2" i="1"/>
  <c r="E25" i="4"/>
  <c r="E9" i="13" s="1"/>
  <c r="J2" i="2"/>
  <c r="J2" i="3"/>
  <c r="J2" i="4"/>
  <c r="F2" i="2"/>
  <c r="B67" i="4"/>
  <c r="B48" i="4"/>
  <c r="B68" i="4" s="1"/>
  <c r="D67" i="4"/>
  <c r="D48" i="4"/>
  <c r="C23" i="4"/>
  <c r="D64" i="4"/>
  <c r="E6" i="3"/>
  <c r="E5" i="2"/>
  <c r="E6" i="2"/>
  <c r="B16" i="3"/>
  <c r="B50" i="3" s="1"/>
  <c r="D37" i="3"/>
  <c r="D53" i="3" s="1"/>
  <c r="B37" i="3"/>
  <c r="B53" i="3" s="1"/>
  <c r="C52" i="3"/>
  <c r="C16" i="3"/>
  <c r="C50" i="3" s="1"/>
  <c r="C54" i="3"/>
  <c r="D54" i="3"/>
  <c r="D16" i="3"/>
  <c r="D50" i="3" s="1"/>
  <c r="B51" i="3"/>
  <c r="F4" i="9" l="1"/>
  <c r="D6" i="18"/>
  <c r="H18" i="14"/>
  <c r="B5" i="15" s="1"/>
  <c r="H19" i="14"/>
  <c r="B6" i="15" s="1"/>
  <c r="G9" i="16"/>
  <c r="H5" i="16"/>
  <c r="L14" i="14"/>
  <c r="M14" i="14"/>
  <c r="B26" i="13"/>
  <c r="B27" i="13"/>
  <c r="E16" i="4"/>
  <c r="E11" i="9"/>
  <c r="E11" i="3"/>
  <c r="F6" i="4" s="1"/>
  <c r="E5" i="7"/>
  <c r="E5" i="8"/>
  <c r="E32" i="4"/>
  <c r="E65" i="4" s="1"/>
  <c r="G2" i="2"/>
  <c r="F6" i="2"/>
  <c r="F3" i="2"/>
  <c r="F6" i="3"/>
  <c r="F5" i="2"/>
  <c r="F25" i="4"/>
  <c r="F9" i="13" s="1"/>
  <c r="C47" i="4"/>
  <c r="C64" i="4"/>
  <c r="D68" i="4"/>
  <c r="E2" i="4"/>
  <c r="E8" i="2"/>
  <c r="E31" i="2" s="1"/>
  <c r="B54" i="3"/>
  <c r="G4" i="9" l="1"/>
  <c r="E6" i="18"/>
  <c r="B28" i="13"/>
  <c r="B32" i="13" s="1"/>
  <c r="B10" i="17" s="1"/>
  <c r="C10" i="17" s="1"/>
  <c r="H6" i="16"/>
  <c r="H8" i="16"/>
  <c r="F6" i="8"/>
  <c r="F7" i="13"/>
  <c r="F8" i="2"/>
  <c r="F32" i="4"/>
  <c r="F5" i="7"/>
  <c r="F5" i="8"/>
  <c r="F16" i="4"/>
  <c r="F11" i="9"/>
  <c r="F4" i="2"/>
  <c r="F5" i="9"/>
  <c r="E11" i="8"/>
  <c r="F4" i="8"/>
  <c r="F20" i="3"/>
  <c r="F13" i="9" s="1"/>
  <c r="F7" i="3"/>
  <c r="H2" i="2"/>
  <c r="G6" i="3"/>
  <c r="G6" i="2"/>
  <c r="G3" i="2"/>
  <c r="G5" i="9" s="1"/>
  <c r="G5" i="2"/>
  <c r="G25" i="4"/>
  <c r="G9" i="13" s="1"/>
  <c r="C48" i="4"/>
  <c r="C68" i="4" s="1"/>
  <c r="C67" i="4"/>
  <c r="F11" i="3"/>
  <c r="H4" i="9" l="1"/>
  <c r="F6" i="18"/>
  <c r="F34" i="13"/>
  <c r="E34" i="13"/>
  <c r="I34" i="13"/>
  <c r="H34" i="13"/>
  <c r="G34" i="13"/>
  <c r="I5" i="16"/>
  <c r="H9" i="16"/>
  <c r="I6" i="16"/>
  <c r="I8" i="16" s="1"/>
  <c r="I9" i="16" s="1"/>
  <c r="F9" i="8"/>
  <c r="F9" i="2"/>
  <c r="D7" i="18" s="1"/>
  <c r="F12" i="9"/>
  <c r="F14" i="9" s="1"/>
  <c r="G32" i="4"/>
  <c r="G5" i="8"/>
  <c r="G5" i="7"/>
  <c r="G16" i="4"/>
  <c r="G11" i="9"/>
  <c r="F11" i="8"/>
  <c r="G4" i="8"/>
  <c r="G8" i="2"/>
  <c r="I2" i="2"/>
  <c r="H6" i="3"/>
  <c r="H5" i="2"/>
  <c r="H6" i="2"/>
  <c r="H3" i="2"/>
  <c r="H5" i="9" s="1"/>
  <c r="H25" i="4"/>
  <c r="H9" i="13" s="1"/>
  <c r="G7" i="3"/>
  <c r="G20" i="3"/>
  <c r="G13" i="9" s="1"/>
  <c r="F25" i="3"/>
  <c r="G4" i="2"/>
  <c r="G6" i="4"/>
  <c r="G7" i="13" s="1"/>
  <c r="B22" i="6" l="1"/>
  <c r="G6" i="18"/>
  <c r="I4" i="9"/>
  <c r="F3" i="11"/>
  <c r="F3" i="13"/>
  <c r="F5" i="13" s="1"/>
  <c r="G9" i="2"/>
  <c r="E7" i="18" s="1"/>
  <c r="H16" i="4"/>
  <c r="H11" i="9"/>
  <c r="G11" i="3"/>
  <c r="H6" i="4" s="1"/>
  <c r="H7" i="13" s="1"/>
  <c r="G6" i="8"/>
  <c r="G9" i="8" s="1"/>
  <c r="G17" i="4"/>
  <c r="G12" i="9"/>
  <c r="G14" i="9" s="1"/>
  <c r="G15" i="9" s="1"/>
  <c r="H32" i="4"/>
  <c r="H5" i="8"/>
  <c r="H5" i="7"/>
  <c r="H20" i="3"/>
  <c r="H13" i="9" s="1"/>
  <c r="H7" i="3"/>
  <c r="H8" i="2"/>
  <c r="G18" i="4"/>
  <c r="G25" i="3"/>
  <c r="H4" i="2"/>
  <c r="I6" i="3"/>
  <c r="I6" i="2"/>
  <c r="I3" i="2"/>
  <c r="I5" i="2"/>
  <c r="I25" i="4"/>
  <c r="I9" i="13" s="1"/>
  <c r="F6" i="13" l="1"/>
  <c r="F9" i="11"/>
  <c r="D11" i="18" s="1"/>
  <c r="F11" i="11"/>
  <c r="G3" i="11"/>
  <c r="G3" i="13"/>
  <c r="G5" i="13" s="1"/>
  <c r="G17" i="9"/>
  <c r="G22" i="4"/>
  <c r="H17" i="4"/>
  <c r="H12" i="9"/>
  <c r="H14" i="9" s="1"/>
  <c r="H15" i="9" s="1"/>
  <c r="I32" i="4"/>
  <c r="I5" i="8"/>
  <c r="I5" i="7"/>
  <c r="I4" i="2"/>
  <c r="I5" i="9"/>
  <c r="I16" i="4"/>
  <c r="I11" i="9"/>
  <c r="H11" i="3"/>
  <c r="I6" i="4" s="1"/>
  <c r="I7" i="13" s="1"/>
  <c r="H6" i="8"/>
  <c r="G11" i="8"/>
  <c r="H4" i="8"/>
  <c r="H9" i="2"/>
  <c r="F7" i="18" s="1"/>
  <c r="I8" i="2"/>
  <c r="I7" i="3"/>
  <c r="I20" i="3"/>
  <c r="I13" i="9" s="1"/>
  <c r="H18" i="4"/>
  <c r="H25" i="3"/>
  <c r="B18" i="12" l="1"/>
  <c r="G18" i="9"/>
  <c r="G10" i="13"/>
  <c r="G6" i="13"/>
  <c r="G9" i="11"/>
  <c r="E11" i="18" s="1"/>
  <c r="G11" i="11"/>
  <c r="H3" i="11"/>
  <c r="H3" i="13"/>
  <c r="H5" i="13" s="1"/>
  <c r="I9" i="2"/>
  <c r="G7" i="18" s="1"/>
  <c r="H17" i="9"/>
  <c r="H22" i="4"/>
  <c r="I4" i="8"/>
  <c r="H11" i="8"/>
  <c r="I11" i="3"/>
  <c r="I11" i="8" s="1"/>
  <c r="I6" i="8"/>
  <c r="H9" i="8"/>
  <c r="I17" i="4"/>
  <c r="I12" i="9"/>
  <c r="I14" i="9" s="1"/>
  <c r="I15" i="9" s="1"/>
  <c r="I18" i="4"/>
  <c r="I25" i="3"/>
  <c r="G11" i="13" l="1"/>
  <c r="G35" i="13" s="1"/>
  <c r="H18" i="9"/>
  <c r="H10" i="13"/>
  <c r="H6" i="13"/>
  <c r="H9" i="11"/>
  <c r="F11" i="18" s="1"/>
  <c r="H11" i="11"/>
  <c r="I3" i="11"/>
  <c r="I3" i="13"/>
  <c r="I5" i="13" s="1"/>
  <c r="I9" i="8"/>
  <c r="I17" i="9"/>
  <c r="I22" i="4"/>
  <c r="H11" i="13" l="1"/>
  <c r="H35" i="13" s="1"/>
  <c r="I18" i="9"/>
  <c r="I10" i="13"/>
  <c r="I6" i="13"/>
  <c r="I11" i="11"/>
  <c r="I9" i="11"/>
  <c r="G11" i="18" s="1"/>
  <c r="E7" i="8"/>
  <c r="E12" i="8" s="1"/>
  <c r="F7" i="8"/>
  <c r="F12" i="8" s="1"/>
  <c r="I7" i="8"/>
  <c r="I12" i="8" s="1"/>
  <c r="G7" i="8"/>
  <c r="G12" i="8" s="1"/>
  <c r="H7" i="8"/>
  <c r="H12" i="8" s="1"/>
  <c r="F4" i="10"/>
  <c r="F7" i="10" s="1"/>
  <c r="B26" i="6" l="1"/>
  <c r="B7" i="17" a="1"/>
  <c r="C7" i="17" s="1"/>
  <c r="I11" i="13"/>
  <c r="B38" i="13" s="1"/>
  <c r="B39" i="13" s="1"/>
  <c r="G4" i="10"/>
  <c r="G7" i="10" s="1"/>
  <c r="H4" i="10" s="1"/>
  <c r="H7" i="10" s="1"/>
  <c r="I4" i="10"/>
  <c r="I7" i="10" s="1"/>
  <c r="E3" i="2"/>
  <c r="I35" i="13" l="1"/>
  <c r="E20" i="3"/>
  <c r="E7" i="3"/>
  <c r="F17" i="4" s="1"/>
  <c r="E5" i="9"/>
  <c r="E4" i="2"/>
  <c r="E9" i="2" s="1"/>
  <c r="E3" i="13" l="1"/>
  <c r="C7" i="18"/>
  <c r="E13" i="9"/>
  <c r="E18" i="4"/>
  <c r="F18" i="4"/>
  <c r="E25" i="3"/>
  <c r="E51" i="3" s="1"/>
  <c r="E17" i="4"/>
  <c r="E12" i="9"/>
  <c r="E12" i="2"/>
  <c r="E3" i="11"/>
  <c r="E32" i="2"/>
  <c r="E5" i="13" l="1"/>
  <c r="E6" i="13" s="1"/>
  <c r="E14" i="9"/>
  <c r="F22" i="4"/>
  <c r="F17" i="9"/>
  <c r="F10" i="13" s="1"/>
  <c r="F11" i="13" s="1"/>
  <c r="E22" i="4"/>
  <c r="E63" i="4" s="1"/>
  <c r="E17" i="9"/>
  <c r="E10" i="13" s="1"/>
  <c r="E11" i="11"/>
  <c r="E9" i="11"/>
  <c r="E13" i="2"/>
  <c r="E14" i="2" s="1"/>
  <c r="E33" i="2"/>
  <c r="C11" i="18" l="1"/>
  <c r="E11" i="13"/>
  <c r="E35" i="13" s="1"/>
  <c r="F35" i="13"/>
  <c r="E15" i="9"/>
  <c r="E18" i="9" s="1"/>
  <c r="F15" i="9"/>
  <c r="F18" i="9" s="1"/>
  <c r="E34" i="2"/>
  <c r="E4" i="4"/>
  <c r="E23" i="4" s="1"/>
  <c r="E16" i="2"/>
  <c r="C8" i="18" s="1"/>
  <c r="B5" i="17" l="1" a="1"/>
  <c r="C5" i="17" s="1"/>
  <c r="B37" i="13"/>
  <c r="B40" i="13" s="1"/>
  <c r="B48" i="13" s="1"/>
  <c r="E34" i="3"/>
  <c r="E17" i="2"/>
  <c r="E18" i="2"/>
  <c r="C9" i="18" s="1"/>
  <c r="E35" i="2"/>
  <c r="E64" i="4"/>
  <c r="E4" i="7"/>
  <c r="E6" i="7" s="1"/>
  <c r="C10" i="18" s="1"/>
  <c r="E47" i="4"/>
  <c r="B43" i="13" l="1"/>
  <c r="E67" i="4"/>
  <c r="E48" i="4"/>
  <c r="E7" i="7"/>
  <c r="E7" i="11"/>
  <c r="E12" i="11" s="1"/>
  <c r="E35" i="3"/>
  <c r="B45" i="13" l="1"/>
  <c r="B27" i="6" s="1"/>
  <c r="E9" i="7"/>
  <c r="E52" i="3"/>
  <c r="E37" i="3"/>
  <c r="E68" i="4"/>
  <c r="F2" i="4"/>
  <c r="E4" i="3"/>
  <c r="C12" i="18" s="1"/>
  <c r="B52" i="13" l="1"/>
  <c r="B4" i="15"/>
  <c r="B47" i="13"/>
  <c r="E53" i="3"/>
  <c r="E38" i="3"/>
  <c r="E54" i="3" s="1"/>
  <c r="E9" i="3"/>
  <c r="F18" i="10"/>
  <c r="F19" i="10" s="1"/>
  <c r="F20" i="10" s="1"/>
  <c r="F11" i="2" s="1"/>
  <c r="F12" i="2" s="1"/>
  <c r="E5" i="11"/>
  <c r="E6" i="11" s="1"/>
  <c r="E10" i="11" s="1"/>
  <c r="B11" i="17" l="1"/>
  <c r="C11" i="17" s="1"/>
  <c r="B24" i="18"/>
  <c r="F13" i="2"/>
  <c r="F14" i="2" s="1"/>
  <c r="E49" i="3"/>
  <c r="E16" i="3"/>
  <c r="E39" i="3" l="1"/>
  <c r="E50" i="3"/>
  <c r="F16" i="2"/>
  <c r="D8" i="18" s="1"/>
  <c r="F4" i="4"/>
  <c r="F23" i="4" s="1"/>
  <c r="F4" i="7" l="1"/>
  <c r="F6" i="7" s="1"/>
  <c r="D10" i="18" s="1"/>
  <c r="F47" i="4"/>
  <c r="F48" i="4" s="1"/>
  <c r="F18" i="2"/>
  <c r="D9" i="18" s="1"/>
  <c r="F17" i="2"/>
  <c r="F34" i="3"/>
  <c r="F4" i="3" l="1"/>
  <c r="D12" i="18" s="1"/>
  <c r="G2" i="4"/>
  <c r="F35" i="3"/>
  <c r="F37" i="3" s="1"/>
  <c r="F38" i="3" s="1"/>
  <c r="F7" i="7"/>
  <c r="F7" i="11"/>
  <c r="F12" i="11" s="1"/>
  <c r="F9" i="7" l="1"/>
  <c r="B9" i="7" a="1"/>
  <c r="F9" i="3"/>
  <c r="F16" i="3" s="1"/>
  <c r="F39" i="3" s="1"/>
  <c r="F5" i="11"/>
  <c r="F6" i="11" s="1"/>
  <c r="F10" i="11" s="1"/>
  <c r="G18" i="10"/>
  <c r="G19" i="10" s="1"/>
  <c r="G20" i="10" s="1"/>
  <c r="G11" i="2" s="1"/>
  <c r="G12" i="2" s="1"/>
  <c r="G13" i="2" l="1"/>
  <c r="G14" i="2" s="1"/>
  <c r="G16" i="2" l="1"/>
  <c r="E8" i="18" s="1"/>
  <c r="G4" i="4"/>
  <c r="G23" i="4" s="1"/>
  <c r="G4" i="7" l="1"/>
  <c r="G6" i="7" s="1"/>
  <c r="E10" i="18" s="1"/>
  <c r="G47" i="4"/>
  <c r="G48" i="4" s="1"/>
  <c r="G18" i="2"/>
  <c r="E9" i="18" s="1"/>
  <c r="G17" i="2"/>
  <c r="G34" i="3"/>
  <c r="H2" i="4" l="1"/>
  <c r="G4" i="3"/>
  <c r="E12" i="18" s="1"/>
  <c r="G35" i="3"/>
  <c r="G37" i="3" s="1"/>
  <c r="G38" i="3" s="1"/>
  <c r="G7" i="7"/>
  <c r="G9" i="7" s="1"/>
  <c r="G7" i="11"/>
  <c r="G12" i="11" s="1"/>
  <c r="H18" i="10" l="1"/>
  <c r="H19" i="10" s="1"/>
  <c r="H20" i="10" s="1"/>
  <c r="H11" i="2" s="1"/>
  <c r="H12" i="2" s="1"/>
  <c r="G5" i="11"/>
  <c r="G6" i="11" s="1"/>
  <c r="G10" i="11" s="1"/>
  <c r="G9" i="3"/>
  <c r="G16" i="3" s="1"/>
  <c r="G39" i="3" s="1"/>
  <c r="H13" i="2" l="1"/>
  <c r="H14" i="2" s="1"/>
  <c r="H4" i="4" l="1"/>
  <c r="H23" i="4" s="1"/>
  <c r="H16" i="2"/>
  <c r="F8" i="18" s="1"/>
  <c r="H18" i="2" l="1"/>
  <c r="F9" i="18" s="1"/>
  <c r="H17" i="2"/>
  <c r="H34" i="3"/>
  <c r="H4" i="7"/>
  <c r="H6" i="7" s="1"/>
  <c r="F10" i="18" s="1"/>
  <c r="H47" i="4"/>
  <c r="H48" i="4" s="1"/>
  <c r="I2" i="4" l="1"/>
  <c r="H4" i="3"/>
  <c r="F12" i="18" s="1"/>
  <c r="H35" i="3"/>
  <c r="H37" i="3" s="1"/>
  <c r="H38" i="3" s="1"/>
  <c r="H7" i="7"/>
  <c r="H9" i="7" s="1"/>
  <c r="H7" i="11"/>
  <c r="H12" i="11" s="1"/>
  <c r="H5" i="11" l="1"/>
  <c r="H6" i="11" s="1"/>
  <c r="H10" i="11" s="1"/>
  <c r="H9" i="3"/>
  <c r="H16" i="3" s="1"/>
  <c r="H39" i="3" s="1"/>
  <c r="I18" i="10"/>
  <c r="I19" i="10" s="1"/>
  <c r="I20" i="10" s="1"/>
  <c r="I11" i="2" s="1"/>
  <c r="I12" i="2" s="1"/>
  <c r="I13" i="2" l="1"/>
  <c r="I14" i="2" s="1"/>
  <c r="I16" i="2" l="1"/>
  <c r="I4" i="4"/>
  <c r="I23" i="4" s="1"/>
  <c r="B23" i="6" l="1"/>
  <c r="G8" i="18"/>
  <c r="B8" i="12"/>
  <c r="I4" i="7"/>
  <c r="I6" i="7" s="1"/>
  <c r="G10" i="18" s="1"/>
  <c r="I47" i="4"/>
  <c r="I48" i="4" s="1"/>
  <c r="B25" i="6" s="1"/>
  <c r="I18" i="2"/>
  <c r="I17" i="2"/>
  <c r="I34" i="3"/>
  <c r="I35" i="3" s="1"/>
  <c r="I37" i="3" s="1"/>
  <c r="I38" i="3" s="1"/>
  <c r="B24" i="6" l="1"/>
  <c r="G9" i="18"/>
  <c r="I4" i="3"/>
  <c r="G12" i="18" s="1"/>
  <c r="I7" i="7"/>
  <c r="I9" i="7" s="1"/>
  <c r="I7" i="11"/>
  <c r="I12" i="11" s="1"/>
  <c r="I9" i="3" l="1"/>
  <c r="I16" i="3" s="1"/>
  <c r="I39" i="3" s="1"/>
  <c r="I5" i="11"/>
  <c r="I6" i="11" s="1"/>
  <c r="I10" i="11" s="1"/>
  <c r="B4" i="17" l="1" a="1"/>
  <c r="C4" i="17" s="1"/>
  <c r="B14" i="17" s="1"/>
  <c r="E38" i="1" l="1"/>
  <c r="B3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<sst xmlns="http://schemas.openxmlformats.org/spreadsheetml/2006/main" count="568" uniqueCount="451">
  <si>
    <t>FY2023</t>
  </si>
  <si>
    <t>FY2024</t>
  </si>
  <si>
    <t>FY2025</t>
  </si>
  <si>
    <t xml:space="preserve">Net Revenue </t>
  </si>
  <si>
    <t xml:space="preserve">Cost of Sales </t>
  </si>
  <si>
    <t>Gross Profit</t>
  </si>
  <si>
    <t>Research and development</t>
  </si>
  <si>
    <t xml:space="preserve">Restructuring and other charges </t>
  </si>
  <si>
    <t xml:space="preserve">Operating expenses </t>
  </si>
  <si>
    <t>Operating income (loss)</t>
  </si>
  <si>
    <t xml:space="preserve">Gains (losses) on equity investments, net </t>
  </si>
  <si>
    <t xml:space="preserve">Interest and other, net </t>
  </si>
  <si>
    <t xml:space="preserve">Income (loss) before taxes </t>
  </si>
  <si>
    <t xml:space="preserve">Provision for (benefit from) taxes </t>
  </si>
  <si>
    <t xml:space="preserve">Net income (loss) </t>
  </si>
  <si>
    <t xml:space="preserve">Weighted average shares of common stock outstanding: </t>
  </si>
  <si>
    <t xml:space="preserve">     Basic</t>
  </si>
  <si>
    <t xml:space="preserve">     Diluted </t>
  </si>
  <si>
    <t>Years ended ( In Millions, Except Per Share Amounts)</t>
  </si>
  <si>
    <t xml:space="preserve">Marketing, general, and administrative </t>
  </si>
  <si>
    <t xml:space="preserve">Net income (loss) attributable to Intel </t>
  </si>
  <si>
    <t xml:space="preserve">Earnings (loss) per share attributable to Intel - basic </t>
  </si>
  <si>
    <t>Earnings (loss) per share attributable to Intel - diluted</t>
  </si>
  <si>
    <t xml:space="preserve">Less: net income  attributable to non-controlling interests </t>
  </si>
  <si>
    <t>Reported per 10-K</t>
  </si>
  <si>
    <t xml:space="preserve">Operating income </t>
  </si>
  <si>
    <t xml:space="preserve">Net income </t>
  </si>
  <si>
    <t xml:space="preserve">Net income attributable to Intel </t>
  </si>
  <si>
    <t xml:space="preserve">Check (calculated minus reported) </t>
  </si>
  <si>
    <t>Income before taxes</t>
  </si>
  <si>
    <t>Income Statement 10-K Page 60</t>
  </si>
  <si>
    <t xml:space="preserve">Operating Expenses Check </t>
  </si>
  <si>
    <t>Operating Income Check</t>
  </si>
  <si>
    <t>Net Income Check</t>
  </si>
  <si>
    <t>Net income attributable to Intel Check</t>
  </si>
  <si>
    <t>Income before taxes Check</t>
  </si>
  <si>
    <t xml:space="preserve">(In Millions, Except Par Value) </t>
  </si>
  <si>
    <t>Assets</t>
  </si>
  <si>
    <t>Current assets:</t>
  </si>
  <si>
    <t xml:space="preserve">     Cash and cash equivalents </t>
  </si>
  <si>
    <t xml:space="preserve">     Short-term investments </t>
  </si>
  <si>
    <t xml:space="preserve">     Inventories </t>
  </si>
  <si>
    <t xml:space="preserve">     Other current assets </t>
  </si>
  <si>
    <t xml:space="preserve">Total current assets </t>
  </si>
  <si>
    <t xml:space="preserve">Property, plant and equipment, net </t>
  </si>
  <si>
    <t xml:space="preserve">Equity investments </t>
  </si>
  <si>
    <t xml:space="preserve">Goodwill </t>
  </si>
  <si>
    <t xml:space="preserve">Identified intangible assets, net </t>
  </si>
  <si>
    <t xml:space="preserve">Other long-term assets </t>
  </si>
  <si>
    <t xml:space="preserve">Total assets </t>
  </si>
  <si>
    <t xml:space="preserve">Liabilities and stockholders' equity </t>
  </si>
  <si>
    <t xml:space="preserve">Current liabilities: </t>
  </si>
  <si>
    <t xml:space="preserve">     Accounts payable </t>
  </si>
  <si>
    <t xml:space="preserve">     Accrued compensation and benefits </t>
  </si>
  <si>
    <t xml:space="preserve">     Short-term debt </t>
  </si>
  <si>
    <t xml:space="preserve">     Income taxes payable </t>
  </si>
  <si>
    <t xml:space="preserve">Total current liabilities </t>
  </si>
  <si>
    <t>Debt</t>
  </si>
  <si>
    <t xml:space="preserve">Other long-term liabilities </t>
  </si>
  <si>
    <t>Commitments and Contingencies (Note 19)</t>
  </si>
  <si>
    <t xml:space="preserve">     Accumulated other comprehensive income (loss) </t>
  </si>
  <si>
    <t xml:space="preserve">     Retained Earnings </t>
  </si>
  <si>
    <t xml:space="preserve">Total Intel stockholder's equity </t>
  </si>
  <si>
    <t>Non-controlling interests</t>
  </si>
  <si>
    <t xml:space="preserve">Total stockholder's equity </t>
  </si>
  <si>
    <t>Reported total liabilities and equity (per 10-K)</t>
  </si>
  <si>
    <t xml:space="preserve">Balance Check </t>
  </si>
  <si>
    <t xml:space="preserve">Total Current Assets </t>
  </si>
  <si>
    <t xml:space="preserve">Total Assets </t>
  </si>
  <si>
    <t xml:space="preserve">Total Current Liabilities </t>
  </si>
  <si>
    <t>Total Current Assets Check</t>
  </si>
  <si>
    <t>Total Assets Check</t>
  </si>
  <si>
    <t>Total Current Liabilities Check</t>
  </si>
  <si>
    <t xml:space="preserve">Total Intel stockholder's equity Check </t>
  </si>
  <si>
    <t>Total stockholder's equity Check</t>
  </si>
  <si>
    <t xml:space="preserve">     Accounts receivables, net </t>
  </si>
  <si>
    <t xml:space="preserve">     Other accrued liabilities </t>
  </si>
  <si>
    <t xml:space="preserve">Stockholders' equity: </t>
  </si>
  <si>
    <t xml:space="preserve">     Preferred stock, $0.001 par value, 50 shares authorized: none issued </t>
  </si>
  <si>
    <t xml:space="preserve">     Common stock, $0.001 par value, 10,000 shares authorized: 4,994 shares issued and outstanding (4,330 issued and outstanding in 2024) and capital in excess of par value </t>
  </si>
  <si>
    <t xml:space="preserve">Balance sheet balances check </t>
  </si>
  <si>
    <r>
      <t>Balance Sheet FY2024</t>
    </r>
    <r>
      <rPr>
        <b/>
        <u/>
        <sz val="12"/>
        <color rgb="FF000000"/>
        <rFont val="Aptos Narrow (Body)"/>
      </rPr>
      <t xml:space="preserve"> </t>
    </r>
    <r>
      <rPr>
        <b/>
        <sz val="12"/>
        <color rgb="FF000000"/>
        <rFont val="Aptos Narrow (Body)"/>
      </rPr>
      <t>10-K p.59 (FY2023, FY2024); FY2025 10-K p.62 (FY2024, FY2025).</t>
    </r>
  </si>
  <si>
    <t xml:space="preserve">Calculated total liabilities and equity </t>
  </si>
  <si>
    <t xml:space="preserve">Years  Ended (in Millions) </t>
  </si>
  <si>
    <t xml:space="preserve">Cash and cash equivalents, beginning of period </t>
  </si>
  <si>
    <t xml:space="preserve">Cash flows provided by (used for) operating activities: </t>
  </si>
  <si>
    <t xml:space="preserve">     Net income (loss) </t>
  </si>
  <si>
    <t xml:space="preserve">     Adjustments to reconcile net income (loss) to net cash provided by operating activities: </t>
  </si>
  <si>
    <t xml:space="preserve">          Depreciation</t>
  </si>
  <si>
    <t xml:space="preserve">          Share-based compensation </t>
  </si>
  <si>
    <t xml:space="preserve">          Amortization of intangibles </t>
  </si>
  <si>
    <t xml:space="preserve">          (Gains) losses on divestitures </t>
  </si>
  <si>
    <t xml:space="preserve">          Deferred taxes </t>
  </si>
  <si>
    <t xml:space="preserve">          Changes in asset and liabilities: </t>
  </si>
  <si>
    <t xml:space="preserve">               Inventories </t>
  </si>
  <si>
    <t xml:space="preserve">               Accounts payable </t>
  </si>
  <si>
    <t xml:space="preserve">               Accrued compensation and benefits </t>
  </si>
  <si>
    <t xml:space="preserve">               Income taxes </t>
  </si>
  <si>
    <t xml:space="preserve">               Other assets and liabilities </t>
  </si>
  <si>
    <t xml:space="preserve">          Total adjustments </t>
  </si>
  <si>
    <t xml:space="preserve">Net cash provided by (used for) operating activities </t>
  </si>
  <si>
    <t xml:space="preserve">Cash flows provided by (used for) investing activities: </t>
  </si>
  <si>
    <t xml:space="preserve">     Additions to property, plant and equipment </t>
  </si>
  <si>
    <t xml:space="preserve">     Proceeds from capital-related government incentives </t>
  </si>
  <si>
    <t xml:space="preserve">     Purchases of short-term investments </t>
  </si>
  <si>
    <t xml:space="preserve">     Maturities and sales of short-term investments </t>
  </si>
  <si>
    <t xml:space="preserve">     Sales of equity investments </t>
  </si>
  <si>
    <t xml:space="preserve">     Other investing </t>
  </si>
  <si>
    <t xml:space="preserve">Net cash provided by (used for) investing activities </t>
  </si>
  <si>
    <t xml:space="preserve">Cash flows provided by (used for) financing activities: </t>
  </si>
  <si>
    <t xml:space="preserve">     Issuance of commercial paper, net of issuance costs </t>
  </si>
  <si>
    <t xml:space="preserve">     Repayment of commercial paper </t>
  </si>
  <si>
    <t xml:space="preserve">     Partner contributions </t>
  </si>
  <si>
    <t xml:space="preserve">     Net proceeds from sales of subsidiary shares </t>
  </si>
  <si>
    <t xml:space="preserve">     Issuance of long-term debt, net of issuance costs </t>
  </si>
  <si>
    <t xml:space="preserve">     Repayment of debt </t>
  </si>
  <si>
    <t xml:space="preserve">     Proceeds from sales of common stock through employee equity incentive plans </t>
  </si>
  <si>
    <t xml:space="preserve">     Net proceeds attributed to common stock and warrants issued, and Escrowed Shares </t>
  </si>
  <si>
    <t xml:space="preserve">     Restricted stock unit withholdings </t>
  </si>
  <si>
    <t xml:space="preserve">     Payments of dividends to stockholders </t>
  </si>
  <si>
    <t xml:space="preserve">     Other financing </t>
  </si>
  <si>
    <t xml:space="preserve">Net cash provided by (used for) financing activities </t>
  </si>
  <si>
    <t xml:space="preserve">Net increase (decrease) in cash and cash equivalents </t>
  </si>
  <si>
    <t xml:space="preserve">Cash, cash equivalents, and restricted cash, end of period </t>
  </si>
  <si>
    <t xml:space="preserve">Non-cash supplemental disclosures: </t>
  </si>
  <si>
    <t xml:space="preserve">     Acquisition of property, plant and equipment</t>
  </si>
  <si>
    <t xml:space="preserve">Cash paid during the year for: </t>
  </si>
  <si>
    <t xml:space="preserve">     Interest, net of capitalized interest </t>
  </si>
  <si>
    <t xml:space="preserve">          (Gains) losses on equity investments, net </t>
  </si>
  <si>
    <t xml:space="preserve">          Mark-to-market (gains) losses on Escrow Shares </t>
  </si>
  <si>
    <t xml:space="preserve">          Restructuring and other changes </t>
  </si>
  <si>
    <t xml:space="preserve">               Accounts receivable </t>
  </si>
  <si>
    <t xml:space="preserve">          Impairments and net (gain loss on retirement of property, plant and equipment) </t>
  </si>
  <si>
    <t xml:space="preserve">     Proceeds from divestitures, net </t>
  </si>
  <si>
    <t xml:space="preserve">          Net cash provided by (used for) operating activities </t>
  </si>
  <si>
    <t xml:space="preserve">          Net cash provided by (used for) investing activities </t>
  </si>
  <si>
    <t xml:space="preserve">          Net cash provided by (used for) financing activities </t>
  </si>
  <si>
    <t xml:space="preserve">          Net increase (decrease) in cash and cash equivalents </t>
  </si>
  <si>
    <t xml:space="preserve">          Cash, cash equivalents, and restricted cash, end of period </t>
  </si>
  <si>
    <t xml:space="preserve">          Net cash provided by (used for) operating activities Check</t>
  </si>
  <si>
    <t xml:space="preserve">          Net cash provided by (used for) investing activities Check</t>
  </si>
  <si>
    <t xml:space="preserve">          Net cash provided by (used for) financing activities Check</t>
  </si>
  <si>
    <t xml:space="preserve">          Net increase (decrease) in cash and cash equivalents Check</t>
  </si>
  <si>
    <t xml:space="preserve">          Total adjustments Check</t>
  </si>
  <si>
    <t xml:space="preserve">          Cash, cash equivalents, and restricted cash, end of period Check</t>
  </si>
  <si>
    <t xml:space="preserve">Years </t>
  </si>
  <si>
    <t xml:space="preserve">FY2023 </t>
  </si>
  <si>
    <t xml:space="preserve">FY2025 </t>
  </si>
  <si>
    <t>Growth</t>
  </si>
  <si>
    <t>Revenue growth %</t>
  </si>
  <si>
    <t xml:space="preserve">Margins </t>
  </si>
  <si>
    <t>Gross margin %</t>
  </si>
  <si>
    <t xml:space="preserve">R&amp;D %  of revenue  </t>
  </si>
  <si>
    <t xml:space="preserve">MG&amp;A % of revenue </t>
  </si>
  <si>
    <t>Taxes</t>
  </si>
  <si>
    <t xml:space="preserve">Effective tax rate </t>
  </si>
  <si>
    <t>Other</t>
  </si>
  <si>
    <t xml:space="preserve">Restricted Cash </t>
  </si>
  <si>
    <t xml:space="preserve">FY2026E </t>
  </si>
  <si>
    <t xml:space="preserve">Notes </t>
  </si>
  <si>
    <t>Intel 3-Statement Model: Notes</t>
  </si>
  <si>
    <t>Sources</t>
  </si>
  <si>
    <t>Historical financials: Intel Form 10-K for FY2024 (balance sheet FY2023, FY2024; p.59) and FY2025 (p.62). Income statement p.60.</t>
  </si>
  <si>
    <t>All figures in $ millions except per-share amounts.</t>
  </si>
  <si>
    <t>Color and format conventions</t>
  </si>
  <si>
    <t>Blue font = typed input or assumption. Black font = formula.</t>
  </si>
  <si>
    <t>Checks</t>
  </si>
  <si>
    <t>Each statement has a check block comparing calculated totals to the 10-K’s reported totals. All checks equal zero for FY2023 to FY2025.</t>
  </si>
  <si>
    <t>Known differences and judgment calls</t>
  </si>
  <si>
    <t>Cash: Cash flow statement ending cash for FY2025 (14,712) includes $447M of restricted cash, which sits in other long-term assets on the balance sheet. Balance sheet cash is 14,265. Source: 10-K Note 6, Other Financial Statement Details.</t>
  </si>
  <si>
    <t>Tax rate: Historical effective rates are distorted (FY2023 benefit despite profit; FY2024 $9.9B non-cash valuation allowance charge; FY2025 pre-tax profit from non-operating gains). Forecast uses the 21% US statutory rate.</t>
  </si>
  <si>
    <t>Forecast assumptions</t>
  </si>
  <si>
    <t>FY2026E</t>
  </si>
  <si>
    <t xml:space="preserve">Restructuring and other charges ($M) </t>
  </si>
  <si>
    <t>Gains (losses) on equity investments, net ($M)</t>
  </si>
  <si>
    <t xml:space="preserve">Net income attributable to non-controlling interests ($M) </t>
  </si>
  <si>
    <t>Weighted average shares, basic (millions)</t>
  </si>
  <si>
    <t xml:space="preserve">Weighted average shares, diluted (millions) </t>
  </si>
  <si>
    <t>Assumed zero: investment gains are unpredictable and not part of core operations.</t>
  </si>
  <si>
    <t>Assumed 250, about the FY2024 level. FY2025 (3,257) was inflated by one-time items such as a 5,323 gain on divestitures and a 1,796 loss on escrow shares.</t>
  </si>
  <si>
    <t>FY2026 growth of 15%: Q2 2026 revenue was $16.1B (+25% YoY) and Q3 guidance is $15.8 to 16.8B. Intel gave no full-year guidance, so I use a rate below the current quarterly run rate to stay conservative. Source: Intel Q2 2026 earnings release</t>
  </si>
  <si>
    <t>Gross margin held near the FY2025 level (34.8%), after a drop from 40.0% in FY2023. No evidence yet of a sustained recovery, so I assume stability.</t>
  </si>
  <si>
    <t>R&amp;D at 24% of revenue, continuing the decline from 26.1% in FY2025 as revenue grows faster than spending.</t>
  </si>
  <si>
    <t>MG&amp;A at 9% of revenue, roughly flat vs. FY2025 (8.7%) and below FY2023 and FY2024 (10.4%).</t>
  </si>
  <si>
    <t>Restricted cash held constant at 447. Included in other long-term assets; excluded from balance sheet cash (10-K Note 6).</t>
  </si>
  <si>
    <t>Historical rates distorted by one-time items (see Notes tab). Using the 21% US statutory rate.</t>
  </si>
  <si>
    <t>Sized so total operating expenses (R&amp;D + MG&amp;A + restructuring) are about $23.0B, in line with Intel's FY2026 GAAP operating expense estimate (Q2 2026 earnings release).</t>
  </si>
  <si>
    <t>Held flat at the FY2025 level (293), since outside investors' stakes in Intel subsidiaries are not expected to change materially.</t>
  </si>
  <si>
    <t>4,994M shares outstanding at the end of FY2025 per the balance sheet, up from 4,330M; the FY2026 average should be at least this level.</t>
  </si>
  <si>
    <t>Same as basic, since diluted equals basic when there is a net loss.</t>
  </si>
  <si>
    <t>Revenue grows 15% in FY2026, below the Q2 2026 run rate of +25% YoY.</t>
  </si>
  <si>
    <t>Gross margin 35%, R&amp;D 24%, MG&amp;A 9% of revenue.</t>
  </si>
  <si>
    <t>Restructuring of $3.0B sized to Intel's ~$23.0B FY2026 operating expense estimate.</t>
  </si>
  <si>
    <t>Tax rate 21%. A pre-tax loss produces a tax benefit, a simplification.</t>
  </si>
  <si>
    <t>Shares 4,994M; non-controlling interests held at 293.</t>
  </si>
  <si>
    <t xml:space="preserve">Working capital </t>
  </si>
  <si>
    <t>Days inventory outstanding (DIO)</t>
  </si>
  <si>
    <t xml:space="preserve">Days payable outstanding (DPO) </t>
  </si>
  <si>
    <t>DSO of 28 days: collection time has lengthened each year (22.9, 23.9, 26.5), so I assume the trend continues slightly.</t>
  </si>
  <si>
    <t>DIO of 121 days: inventory days have been stable at 123 to 125, so I assume a small improvement as production scales with higher revenue.</t>
  </si>
  <si>
    <t>DPO of 112 days: between FY2025 (104.6) and the three-year average (about 110). FY2024 (128.2) looks like an outlier, so I don't carry it forward. Assumes Intel pays suppliers slightly slower than in FY2025.</t>
  </si>
  <si>
    <t>Working capital: DSO 28, DIO 121, DPO 112 days. DPO excludes the FY2024 outlier.</t>
  </si>
  <si>
    <t>Days sales outstanding (DSO)</t>
  </si>
  <si>
    <t xml:space="preserve">Fixed Assets </t>
  </si>
  <si>
    <t xml:space="preserve">Capex % of revenue </t>
  </si>
  <si>
    <t xml:space="preserve">Depreciation % of beginning PP&amp;E </t>
  </si>
  <si>
    <t xml:space="preserve">n/a </t>
  </si>
  <si>
    <t>Capex at 20% of revenue (about $12.2B), below FY2025's 27.7% but above the Q2 2026 pace of $2.65B per quarter; CFO says investment in equipment and clean rooms is increasing. Source: Intel Q2 2026 earnings release.</t>
  </si>
  <si>
    <t>Depreciation at 11% of beginning PP&amp;E (about $11.6B), up from 10.3% and 10.0% in FY2024 and FY2025 to match Intel's pace: first-half 2026 depreciation was $5.9B, about $11.8B annualized. Source: Intel Q2 2026 earnings release.</t>
  </si>
  <si>
    <t>Capex 20% of revenue and depreciation 11% of beginning PP&amp;E (matching Intel's first-half 2026 pace). PP&amp;E uses a simple roll-forward and ignores divestitures, impairments, and incentives, so it won't reconcile exactly to history.</t>
  </si>
  <si>
    <t xml:space="preserve">Amortization of Intangibles ($M) </t>
  </si>
  <si>
    <t xml:space="preserve">Share-based compensation ($M) </t>
  </si>
  <si>
    <t>No dividends assumed in FY2026 (none paid in FY2025). Retained earnings roll forward by net income attributable to Intel.</t>
  </si>
  <si>
    <t>FY2027E</t>
  </si>
  <si>
    <t>FY2028E</t>
  </si>
  <si>
    <t>FY2029E</t>
  </si>
  <si>
    <t>FY2030E</t>
  </si>
  <si>
    <t>Growth fades from 15% in FY2026 to 6% in FY2030 as the recovery matures.</t>
  </si>
  <si>
    <t>FY2027E to FY2030E: my own estimates, not company guidance.</t>
  </si>
  <si>
    <t>Forecast extended to FY2030E. Growth fades from 15% to 6%, margins improve gradually, restructuring winds down, and capex normalizes (see column K on the Assumptions tab).</t>
  </si>
  <si>
    <t xml:space="preserve">Active Case </t>
  </si>
  <si>
    <t>Base</t>
  </si>
  <si>
    <t>Upside</t>
  </si>
  <si>
    <t>Capex %</t>
  </si>
  <si>
    <t>Gross Margin %</t>
  </si>
  <si>
    <t>Downside</t>
  </si>
  <si>
    <t>Scenario Selector (1 = Base,2 = Upside,3 = Downside)</t>
  </si>
  <si>
    <t xml:space="preserve">Payback Analysis </t>
  </si>
  <si>
    <t xml:space="preserve">FY2030E </t>
  </si>
  <si>
    <t xml:space="preserve">Operating cash flows </t>
  </si>
  <si>
    <t xml:space="preserve">Capital expenditures </t>
  </si>
  <si>
    <t xml:space="preserve">Free cash flow </t>
  </si>
  <si>
    <t xml:space="preserve">Cumulative free cash flow </t>
  </si>
  <si>
    <t>Payback year</t>
  </si>
  <si>
    <t>PP&amp;E Schedule ($M)</t>
  </si>
  <si>
    <t xml:space="preserve">Beginning PP&amp;E </t>
  </si>
  <si>
    <t xml:space="preserve">Plus: capital expenditures </t>
  </si>
  <si>
    <t xml:space="preserve">Less: depreciation </t>
  </si>
  <si>
    <t xml:space="preserve">Ending PP&amp;E </t>
  </si>
  <si>
    <t>Depreciation % of beginning PP&amp;E</t>
  </si>
  <si>
    <t xml:space="preserve">PP&amp;E per Balance Sheet </t>
  </si>
  <si>
    <t xml:space="preserve">Check (schedule minus Balance Sheet) </t>
  </si>
  <si>
    <t>Scenario selector: Scenarios B1 (1 = Base, 2 = Upside, 3 = Downside) drives revenue growth, gross margin and capex %. Base values are typed on the Scenarios sheet; the Assumptions tab picks the active case.</t>
  </si>
  <si>
    <t>Payback is the first year cumulative free cash flow (operating cash flow minus capex) turns positive. It ignores the time value of money.</t>
  </si>
  <si>
    <t>Working Capital Schedule ($M)</t>
  </si>
  <si>
    <t>Net revenue</t>
  </si>
  <si>
    <t>Cost of sales</t>
  </si>
  <si>
    <t xml:space="preserve">Days sales outstanding (DSO) </t>
  </si>
  <si>
    <t xml:space="preserve">Accounts receivable </t>
  </si>
  <si>
    <t xml:space="preserve">Inventories </t>
  </si>
  <si>
    <t xml:space="preserve">Accounts payable </t>
  </si>
  <si>
    <t xml:space="preserve">Net working capital </t>
  </si>
  <si>
    <t xml:space="preserve">Increase (decrease) in net working capital </t>
  </si>
  <si>
    <t>Cash flow impact (per Cash Flow Statement)</t>
  </si>
  <si>
    <t xml:space="preserve">Check (should be 0) </t>
  </si>
  <si>
    <t>Working Capital sheet shows receivables, inventories and payables from the days assumptions and checks the change to the cash flow statement (check row = 0).</t>
  </si>
  <si>
    <t xml:space="preserve">Debt </t>
  </si>
  <si>
    <t>Scheduled debt maturities ($M, 10-K Note 13)</t>
  </si>
  <si>
    <t xml:space="preserve">% of maturities refinanced with new debt </t>
  </si>
  <si>
    <t xml:space="preserve">Debt Schedule ($M) </t>
  </si>
  <si>
    <t>Beginning debt</t>
  </si>
  <si>
    <t xml:space="preserve">Plus: new borrowings </t>
  </si>
  <si>
    <t xml:space="preserve">Less: scheduled repayments </t>
  </si>
  <si>
    <t xml:space="preserve">Ending debt </t>
  </si>
  <si>
    <t xml:space="preserve">Total debt per 10-K </t>
  </si>
  <si>
    <t xml:space="preserve">Short-term debt (due next year) </t>
  </si>
  <si>
    <t xml:space="preserve">Long-term debt </t>
  </si>
  <si>
    <t xml:space="preserve">Interest rate on cash and short-term investments </t>
  </si>
  <si>
    <t xml:space="preserve">Interest expense rate on average debt (net of capitalized interest) </t>
  </si>
  <si>
    <t xml:space="preserve">Other non-operating income, net ($M) </t>
  </si>
  <si>
    <t>Average debt</t>
  </si>
  <si>
    <t xml:space="preserve">Interest Expense </t>
  </si>
  <si>
    <t xml:space="preserve">Beginning cash and short-term investments </t>
  </si>
  <si>
    <t xml:space="preserve">Interest income </t>
  </si>
  <si>
    <t xml:space="preserve">Net interest income (expense) </t>
  </si>
  <si>
    <t>Interest: income at 3.75% on beginning cash and short-term investments; expense at 2.5% of average debt, net of capitalized interest (Intel FY2025 interest paid, net of capitalized, was about 2.3% of average debt).</t>
  </si>
  <si>
    <t>Debt: Intel FY2025 10-K, Note 13, Borrowings, pp. 91 to 93. Short-term debt is the next year's scheduled maturities; 50% of maturities are assumed refinanced.</t>
  </si>
  <si>
    <t>Scheduled maturities from the 10-K debt table; FY2031 is my estimate</t>
  </si>
  <si>
    <t>Share of maturities refinanced with new debt (my assumption)</t>
  </si>
  <si>
    <t>Applied to beginning-of-year cash and short-term investments to avoid circularity</t>
  </si>
  <si>
    <t>Net of capitalized interest; Intel's FY2025 figure was about 2.3% of average debt</t>
  </si>
  <si>
    <t xml:space="preserve">Credit Ratios </t>
  </si>
  <si>
    <t xml:space="preserve">EBITDA </t>
  </si>
  <si>
    <t xml:space="preserve">Total debt </t>
  </si>
  <si>
    <t xml:space="preserve">Cash and short-term investments </t>
  </si>
  <si>
    <t xml:space="preserve">Net debt </t>
  </si>
  <si>
    <t xml:space="preserve">Debt / EBITDA (x) </t>
  </si>
  <si>
    <t xml:space="preserve">Net debt / EBITDA (x) </t>
  </si>
  <si>
    <t>Interest coverage (EBITDA / interest expense) (x)</t>
  </si>
  <si>
    <t>FCF / debt (%)</t>
  </si>
  <si>
    <t xml:space="preserve">Sensitivity Analysis </t>
  </si>
  <si>
    <t>Revenue growth adjustment (+/- percentage points)</t>
  </si>
  <si>
    <t xml:space="preserve">Gross margin adjustment (+/- percentage points) </t>
  </si>
  <si>
    <t xml:space="preserve">FY2030E net income attributable to Intel ($M): revenue growth vs gross margin adjustment </t>
  </si>
  <si>
    <t>Revenue growth adjustment across →</t>
  </si>
  <si>
    <t>Gross Margin adjustment down ↓</t>
  </si>
  <si>
    <t xml:space="preserve">FY2027E Debt / EBITDA (x): revenue growth vs gross margin adjustment </t>
  </si>
  <si>
    <t>Revenue growth adjustment →</t>
  </si>
  <si>
    <t>Gross margin adjustment↓</t>
  </si>
  <si>
    <t>Data tables on the Sensitivity sheet use B3 and B4. Keep both at 0% for the normal model.</t>
  </si>
  <si>
    <t>Equity gains 0 and other non-operating income 0; interest is calculated on the Debt Schedule.</t>
  </si>
  <si>
    <t>Items without a clear driver (short-term investments, other assets and liabilities, goodwill, AOCI) are held flat at FY2025 levels. Debt follows the Debt Schedule.</t>
  </si>
  <si>
    <t xml:space="preserve">Snapshot of earlier version </t>
  </si>
  <si>
    <t>Snapshot of earlier version</t>
  </si>
  <si>
    <t>In the FY2026E column, the "reported" numbers are a snapshot of an earlier model version, used to track changes. Non-zero checks there mean the model changed since the snapshot, not that it is broken. The all-checks cell on Assumptions E38 covers the real checks only.</t>
  </si>
  <si>
    <t xml:space="preserve">All model checks </t>
  </si>
  <si>
    <t>Change the scenario on Scenarios B1; check Assumptions E38 reads ALL CHECKS PASS.</t>
  </si>
  <si>
    <t xml:space="preserve">Discounted Cash Flow </t>
  </si>
  <si>
    <t xml:space="preserve">Operating Income(EBIT) </t>
  </si>
  <si>
    <t xml:space="preserve">Tax rate </t>
  </si>
  <si>
    <t xml:space="preserve">Tax on EBIT </t>
  </si>
  <si>
    <t xml:space="preserve">NOPAT (EBIT after tax) </t>
  </si>
  <si>
    <t xml:space="preserve">Plus: depreciation </t>
  </si>
  <si>
    <t xml:space="preserve">Plus: amortization </t>
  </si>
  <si>
    <t xml:space="preserve">Less: capex </t>
  </si>
  <si>
    <t xml:space="preserve">Less: increase in working capital </t>
  </si>
  <si>
    <t xml:space="preserve">Unlevered free cash flow </t>
  </si>
  <si>
    <t>Discount Rate (WACC)</t>
  </si>
  <si>
    <t xml:space="preserve">Risk-free rate (10-year US Treasury yield) </t>
  </si>
  <si>
    <t xml:space="preserve">Equity risk premium </t>
  </si>
  <si>
    <t xml:space="preserve">Beta (INTC) </t>
  </si>
  <si>
    <t xml:space="preserve">Cost of equity </t>
  </si>
  <si>
    <t xml:space="preserve">Pre-tax cost of debt </t>
  </si>
  <si>
    <t xml:space="preserve">After-tax cost of debt </t>
  </si>
  <si>
    <t xml:space="preserve">Share price </t>
  </si>
  <si>
    <t xml:space="preserve">Shares outstanding (millions) </t>
  </si>
  <si>
    <t xml:space="preserve">Market value of equity </t>
  </si>
  <si>
    <t>Equity weight</t>
  </si>
  <si>
    <t xml:space="preserve">Debt weight </t>
  </si>
  <si>
    <t xml:space="preserve">WACC </t>
  </si>
  <si>
    <t xml:space="preserve">Valuation </t>
  </si>
  <si>
    <t xml:space="preserve">Terminal Growth rate </t>
  </si>
  <si>
    <t xml:space="preserve">Discount period (years) </t>
  </si>
  <si>
    <t xml:space="preserve">Discount factor </t>
  </si>
  <si>
    <t xml:space="preserve">PV of unlevered free cash flow </t>
  </si>
  <si>
    <t xml:space="preserve">Sum of PV of FCF, FY2026E to FY2030E </t>
  </si>
  <si>
    <t xml:space="preserve">Terminal value (at FY2030E) </t>
  </si>
  <si>
    <t xml:space="preserve">PV of terminal value </t>
  </si>
  <si>
    <t xml:space="preserve">Enterprise value </t>
  </si>
  <si>
    <t xml:space="preserve">Less total debt (FY2025) </t>
  </si>
  <si>
    <t>Plus: cash and short-term investments (FY2025)</t>
  </si>
  <si>
    <t xml:space="preserve">Equity Value </t>
  </si>
  <si>
    <t xml:space="preserve">Value per share </t>
  </si>
  <si>
    <t xml:space="preserve">Current share price </t>
  </si>
  <si>
    <t xml:space="preserve">Upside (downside) vs. current price </t>
  </si>
  <si>
    <t xml:space="preserve">Terminal value as % of enterprise value </t>
  </si>
  <si>
    <t>WACC adjustment (+/- points)</t>
  </si>
  <si>
    <t>WACC used in valuation</t>
  </si>
  <si>
    <t>Value per share ($): terminal growth vs WACC adjustment</t>
  </si>
  <si>
    <t xml:space="preserve">Terminal growth across </t>
  </si>
  <si>
    <t xml:space="preserve">	10-year US Treasury yield, FRED series DGS10 (or Yahoo Finance ^TNX), Oct 21 2026</t>
  </si>
  <si>
    <t>Assumption, 5.0%; in line with Damodaran's implied ERP (pages.stern.nyu.edu/~adamodar), Oct 2026</t>
  </si>
  <si>
    <t>Yahoo Finance, INTC Statistics tab, 5-year monthly beta, Oct 21 2026</t>
  </si>
  <si>
    <t>Estimate: 10-year Treasury yield + about 2% credit spread; not a quoted bond yield</t>
  </si>
  <si>
    <t>Yahoo Finance, INTC closing price, Oct 21 2026</t>
  </si>
  <si>
    <t xml:space="preserve">Company </t>
  </si>
  <si>
    <t xml:space="preserve">Ticker </t>
  </si>
  <si>
    <t xml:space="preserve">Share price ($) </t>
  </si>
  <si>
    <t>Diluted shares (M)</t>
  </si>
  <si>
    <t xml:space="preserve">Market capitalization </t>
  </si>
  <si>
    <t xml:space="preserve">Revenue, last twelve months </t>
  </si>
  <si>
    <t xml:space="preserve">EBITDA, last twelve months </t>
  </si>
  <si>
    <t xml:space="preserve">Net income, last twelve months </t>
  </si>
  <si>
    <t xml:space="preserve">EV / Revenue </t>
  </si>
  <si>
    <t xml:space="preserve">EV / EBITDA </t>
  </si>
  <si>
    <t xml:space="preserve">P / E </t>
  </si>
  <si>
    <t xml:space="preserve">Comparable Companies </t>
  </si>
  <si>
    <t>AMD</t>
  </si>
  <si>
    <t>Broadcom</t>
  </si>
  <si>
    <t>Advanced Micro Devices, Inc.</t>
  </si>
  <si>
    <t>NVIDIA Corporation</t>
  </si>
  <si>
    <t>NVDA</t>
  </si>
  <si>
    <t>QCOM</t>
  </si>
  <si>
    <t xml:space="preserve">Qualcomm Incorporated </t>
  </si>
  <si>
    <t>AVGO</t>
  </si>
  <si>
    <t>Texas Instruments Incorporated</t>
  </si>
  <si>
    <t>TXN</t>
  </si>
  <si>
    <t>Micron Technology Inc.</t>
  </si>
  <si>
    <t>MU</t>
  </si>
  <si>
    <t xml:space="preserve">$ millions except per-share; market data as of 10.21.26; source Yahoo Finance </t>
  </si>
  <si>
    <t xml:space="preserve">Median </t>
  </si>
  <si>
    <t xml:space="preserve">Mean </t>
  </si>
  <si>
    <t xml:space="preserve">Intel </t>
  </si>
  <si>
    <t xml:space="preserve">INTC </t>
  </si>
  <si>
    <t xml:space="preserve">Implied Intel Valuation from peer median multiples </t>
  </si>
  <si>
    <t>Method</t>
  </si>
  <si>
    <t>Intel metric ($M)</t>
  </si>
  <si>
    <t xml:space="preserve">Peer median multiple </t>
  </si>
  <si>
    <t xml:space="preserve">Implied enterprise value </t>
  </si>
  <si>
    <t>Less: debt</t>
  </si>
  <si>
    <t>Plus: cash</t>
  </si>
  <si>
    <t xml:space="preserve">Implied equity value </t>
  </si>
  <si>
    <t xml:space="preserve">Implied value per share </t>
  </si>
  <si>
    <t>P/E is not used: Intel's trailing earnings are negative.</t>
  </si>
  <si>
    <t xml:space="preserve">Valuation Summary: Intel value per share </t>
  </si>
  <si>
    <t>Value per share ($)</t>
  </si>
  <si>
    <t>Note</t>
  </si>
  <si>
    <t>DCF (WACC 15.3%, terminal growth 3.0%)</t>
  </si>
  <si>
    <t xml:space="preserve">Base Case </t>
  </si>
  <si>
    <t xml:space="preserve">Trailing </t>
  </si>
  <si>
    <t>Comps: EV / EBITDA (peer median)</t>
  </si>
  <si>
    <t>Comps: EV / Revenue (peer median)</t>
  </si>
  <si>
    <t>Current share price</t>
  </si>
  <si>
    <t xml:space="preserve">Market, Oct 21 2026 </t>
  </si>
  <si>
    <t xml:space="preserve">DCF at 9.3% WACC (low discount rate) </t>
  </si>
  <si>
    <t>9.3% WACC, 3.0% terminal growth</t>
  </si>
  <si>
    <t>DCF: unlevered free cash flow = EBIT after tax + depreciation + amortization - capex - increase in working capital. Stock-based compensation is not added back. Valued at the end of FY2025 with year-end discounting. WACC from CAPM (risk-free, equity risk premium, beta from Yahoo Finance, Oct 21 2026) and a pre-tax cost of debt estimate.</t>
  </si>
  <si>
    <t>Comps: AMD, NVIDIA, Qualcomm, Broadcom, Texas Instruments, Micron; trailing twelve-month figures and market data from Yahoo Finance, Oct 21 2026 ($ millions). P/E not used for Intel because trailing earnings are negative.</t>
  </si>
  <si>
    <t>Valuation Summary sheet compares DCF, comps and the current share price. The DCF and comps disagree widely; see the memo for why.</t>
  </si>
  <si>
    <t xml:space="preserve">Dilution from stock-based compensation (% of beginning shares) </t>
  </si>
  <si>
    <t xml:space="preserve">Beginning shares (millions) </t>
  </si>
  <si>
    <t xml:space="preserve">Plus: new shares issued </t>
  </si>
  <si>
    <t xml:space="preserve">Less: shares repurchased </t>
  </si>
  <si>
    <t xml:space="preserve">Ending shares (millions) </t>
  </si>
  <si>
    <r>
      <t>FY2025 weighted average per the 10-K, used as the starting point</t>
    </r>
    <r>
      <rPr>
        <sz val="12"/>
        <color theme="1"/>
        <rFont val="Aptos Narrow"/>
        <family val="2"/>
        <scheme val="minor"/>
      </rPr>
      <t>.</t>
    </r>
  </si>
  <si>
    <t xml:space="preserve">Weighted average shares (millions) </t>
  </si>
  <si>
    <t xml:space="preserve">Scenario comparison, FY2030E </t>
  </si>
  <si>
    <t xml:space="preserve">Base </t>
  </si>
  <si>
    <t xml:space="preserve">Upside </t>
  </si>
  <si>
    <t xml:space="preserve">Downside </t>
  </si>
  <si>
    <t>Revenue ($M)</t>
  </si>
  <si>
    <t xml:space="preserve">Net income attributable to Intel ($M) </t>
  </si>
  <si>
    <t xml:space="preserve">EPS, diluted ($) </t>
  </si>
  <si>
    <t>Ending cash ($M)</t>
  </si>
  <si>
    <t xml:space="preserve">DCF value per share ($) </t>
  </si>
  <si>
    <t xml:space="preserve">Model Checks </t>
  </si>
  <si>
    <t xml:space="preserve">Check </t>
  </si>
  <si>
    <t>Value (should be 0)</t>
  </si>
  <si>
    <t>Pass (1 = yes)</t>
  </si>
  <si>
    <t xml:space="preserve">Balance sheet balances, all years </t>
  </si>
  <si>
    <t xml:space="preserve">Working capital ties to cash flow statement </t>
  </si>
  <si>
    <t xml:space="preserve">Debt schedule ties to balance sheet </t>
  </si>
  <si>
    <t xml:space="preserve">PP&amp;E schedule ties to balance </t>
  </si>
  <si>
    <t>Historical statements tie to the 10-K</t>
  </si>
  <si>
    <t xml:space="preserve">Share count rolls forward year to year </t>
  </si>
  <si>
    <t xml:space="preserve">WACC exceeds terminal growth (gap shown) </t>
  </si>
  <si>
    <t xml:space="preserve">Valuation Summary ties to its sources </t>
  </si>
  <si>
    <t xml:space="preserve">Sensitivity inputs are at zero (model in normal state) </t>
  </si>
  <si>
    <t xml:space="preserve">All checks </t>
  </si>
  <si>
    <t xml:space="preserve">Intel Corporation: Model Summary </t>
  </si>
  <si>
    <t xml:space="preserve">Model checks: </t>
  </si>
  <si>
    <t xml:space="preserve">Key Financials </t>
  </si>
  <si>
    <t xml:space="preserve">Revenue </t>
  </si>
  <si>
    <t>Net income attributable to Intel</t>
  </si>
  <si>
    <t xml:space="preserve">Cash and cash equivalents </t>
  </si>
  <si>
    <t xml:space="preserve">$ millions except per share. Active scenario: </t>
  </si>
  <si>
    <t xml:space="preserve">Valuation per share </t>
  </si>
  <si>
    <t xml:space="preserve">Revenue ($M) </t>
  </si>
  <si>
    <t>EPS, diluted ($)</t>
  </si>
  <si>
    <t xml:space="preserve">Ending cash ($M) </t>
  </si>
  <si>
    <t xml:space="preserve">Debt / EBITDA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</si>
</sst>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_);_([$$-409]* \(#,##0\);_([$$-409]* &quot;-&quot;??_);_(@_)"/>
    <numFmt numFmtId="165" formatCode="_(&quot;$&quot;* #,##0_);_(&quot;$&quot;* \(#,##0\);_(&quot;$&quot;* &quot;-&quot;??_);_(@_)"/>
    <numFmt numFmtId="166" formatCode="0.0%"/>
    <numFmt numFmtId="167" formatCode="0.0&quot;x&quot;"/>
    <numFmt numFmtId="168" formatCode="0.00000%"/>
    <numFmt numFmtId="169" formatCode="#,##0.0000"/>
    <numFmt numFmtId="170" formatCode="#,##0.0"/>
    <numFmt numFmtId="171" formatCode="0.00&quot;x&quot;"/>
    <numFmt numFmtId="172" formatCode="0.0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70C0"/>
      <name val="Aptos Narrow"/>
      <scheme val="minor"/>
    </font>
    <font>
      <b/>
      <u/>
      <sz val="12"/>
      <color rgb="FF000000"/>
      <name val="Aptos Narrow (Body)"/>
    </font>
    <font>
      <b/>
      <sz val="12"/>
      <color rgb="FF000000"/>
      <name val="Aptos Narrow (Body)"/>
    </font>
    <font>
      <i/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family val="2"/>
      <scheme val="minor"/>
    </font>
    <font>
      <sz val="13"/>
      <color rgb="FF000000"/>
      <name val=".SF NS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double">
        <color theme="1"/>
      </top>
      <bottom style="double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64" fontId="2" fillId="0" borderId="2" xfId="0" applyNumberFormat="1" applyFont="1" applyBorder="1"/>
    <xf numFmtId="164" fontId="2" fillId="0" borderId="1" xfId="0" applyNumberFormat="1" applyFont="1" applyBorder="1"/>
    <xf numFmtId="164" fontId="2" fillId="0" borderId="4" xfId="0" applyNumberFormat="1" applyFont="1" applyBorder="1"/>
    <xf numFmtId="164" fontId="4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  <xf numFmtId="164" fontId="5" fillId="0" borderId="5" xfId="0" applyNumberFormat="1" applyFont="1" applyBorder="1"/>
    <xf numFmtId="164" fontId="4" fillId="0" borderId="3" xfId="0" applyNumberFormat="1" applyFont="1" applyBorder="1"/>
    <xf numFmtId="164" fontId="4" fillId="0" borderId="6" xfId="0" applyNumberFormat="1" applyFont="1" applyBorder="1"/>
    <xf numFmtId="165" fontId="4" fillId="0" borderId="0" xfId="1" applyNumberFormat="1" applyFont="1"/>
    <xf numFmtId="0" fontId="2" fillId="0" borderId="5" xfId="0" applyFont="1" applyBorder="1"/>
    <xf numFmtId="3" fontId="2" fillId="0" borderId="1" xfId="0" applyNumberFormat="1" applyFont="1" applyBorder="1"/>
    <xf numFmtId="165" fontId="0" fillId="0" borderId="0" xfId="0" applyNumberFormat="1"/>
    <xf numFmtId="165" fontId="2" fillId="0" borderId="1" xfId="0" applyNumberFormat="1" applyFont="1" applyBorder="1"/>
    <xf numFmtId="165" fontId="2" fillId="0" borderId="2" xfId="0" applyNumberFormat="1" applyFont="1" applyBorder="1"/>
    <xf numFmtId="165" fontId="5" fillId="0" borderId="0" xfId="0" applyNumberFormat="1" applyFont="1"/>
    <xf numFmtId="165" fontId="4" fillId="0" borderId="5" xfId="0" applyNumberFormat="1" applyFont="1" applyBorder="1"/>
    <xf numFmtId="3" fontId="5" fillId="0" borderId="0" xfId="0" applyNumberFormat="1" applyFont="1"/>
    <xf numFmtId="165" fontId="5" fillId="0" borderId="0" xfId="1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165" fontId="7" fillId="0" borderId="0" xfId="1" applyNumberFormat="1" applyFont="1"/>
    <xf numFmtId="165" fontId="2" fillId="0" borderId="1" xfId="1" applyNumberFormat="1" applyFont="1" applyBorder="1"/>
    <xf numFmtId="165" fontId="2" fillId="0" borderId="7" xfId="1" applyNumberFormat="1" applyFont="1" applyBorder="1"/>
    <xf numFmtId="165" fontId="2" fillId="0" borderId="7" xfId="0" applyNumberFormat="1" applyFont="1" applyBorder="1"/>
    <xf numFmtId="165" fontId="2" fillId="0" borderId="8" xfId="1" applyNumberFormat="1" applyFont="1" applyBorder="1"/>
    <xf numFmtId="165" fontId="2" fillId="0" borderId="0" xfId="1" applyNumberFormat="1" applyFont="1" applyBorder="1"/>
    <xf numFmtId="165" fontId="2" fillId="0" borderId="0" xfId="0" applyNumberFormat="1" applyFont="1"/>
    <xf numFmtId="165" fontId="4" fillId="0" borderId="0" xfId="1" applyNumberFormat="1" applyFont="1" applyBorder="1"/>
    <xf numFmtId="0" fontId="0" fillId="0" borderId="0" xfId="0" applyAlignment="1">
      <alignment horizontal="left"/>
    </xf>
    <xf numFmtId="165" fontId="5" fillId="0" borderId="9" xfId="1" applyNumberFormat="1" applyFont="1" applyBorder="1"/>
    <xf numFmtId="0" fontId="5" fillId="0" borderId="0" xfId="1" applyNumberFormat="1" applyFont="1" applyFill="1" applyBorder="1"/>
    <xf numFmtId="165" fontId="4" fillId="0" borderId="9" xfId="1" applyNumberFormat="1" applyFont="1" applyBorder="1"/>
    <xf numFmtId="0" fontId="5" fillId="0" borderId="0" xfId="1" applyNumberFormat="1" applyFont="1"/>
    <xf numFmtId="165" fontId="2" fillId="0" borderId="10" xfId="1" applyNumberFormat="1" applyFont="1" applyBorder="1"/>
    <xf numFmtId="165" fontId="4" fillId="0" borderId="10" xfId="1" applyNumberFormat="1" applyFont="1" applyBorder="1"/>
    <xf numFmtId="44" fontId="5" fillId="0" borderId="0" xfId="1" applyFont="1"/>
    <xf numFmtId="6" fontId="4" fillId="0" borderId="10" xfId="0" applyNumberFormat="1" applyFont="1" applyBorder="1"/>
    <xf numFmtId="6" fontId="5" fillId="0" borderId="0" xfId="0" applyNumberFormat="1" applyFont="1"/>
    <xf numFmtId="165" fontId="4" fillId="0" borderId="8" xfId="1" applyNumberFormat="1" applyFont="1" applyFill="1" applyBorder="1"/>
    <xf numFmtId="165" fontId="5" fillId="0" borderId="0" xfId="1" applyNumberFormat="1" applyFont="1" applyFill="1"/>
    <xf numFmtId="0" fontId="10" fillId="0" borderId="0" xfId="0" applyFont="1"/>
    <xf numFmtId="10" fontId="0" fillId="0" borderId="0" xfId="2" applyNumberFormat="1" applyFont="1"/>
    <xf numFmtId="10" fontId="0" fillId="0" borderId="0" xfId="2" quotePrefix="1" applyNumberFormat="1" applyFont="1"/>
    <xf numFmtId="166" fontId="5" fillId="0" borderId="0" xfId="2" applyNumberFormat="1" applyFont="1"/>
    <xf numFmtId="164" fontId="1" fillId="0" borderId="0" xfId="0" applyNumberFormat="1" applyFont="1"/>
    <xf numFmtId="166" fontId="5" fillId="0" borderId="0" xfId="0" applyNumberFormat="1" applyFont="1"/>
    <xf numFmtId="3" fontId="4" fillId="0" borderId="11" xfId="0" applyNumberFormat="1" applyFont="1" applyBorder="1"/>
    <xf numFmtId="3" fontId="4" fillId="0" borderId="12" xfId="0" applyNumberFormat="1" applyFont="1" applyBorder="1"/>
    <xf numFmtId="1" fontId="0" fillId="0" borderId="0" xfId="0" applyNumberFormat="1"/>
    <xf numFmtId="0" fontId="11" fillId="0" borderId="0" xfId="0" applyFont="1"/>
    <xf numFmtId="2" fontId="0" fillId="0" borderId="0" xfId="0" applyNumberFormat="1"/>
    <xf numFmtId="1" fontId="5" fillId="0" borderId="0" xfId="2" applyNumberFormat="1" applyFont="1"/>
    <xf numFmtId="165" fontId="0" fillId="0" borderId="0" xfId="1" applyNumberFormat="1" applyFont="1"/>
    <xf numFmtId="166" fontId="0" fillId="0" borderId="0" xfId="2" applyNumberFormat="1" applyFont="1"/>
    <xf numFmtId="9" fontId="5" fillId="0" borderId="0" xfId="0" applyNumberFormat="1" applyFont="1"/>
    <xf numFmtId="165" fontId="3" fillId="0" borderId="0" xfId="1" applyNumberFormat="1" applyFont="1"/>
    <xf numFmtId="165" fontId="3" fillId="0" borderId="9" xfId="1" applyNumberFormat="1" applyFont="1" applyBorder="1"/>
    <xf numFmtId="0" fontId="3" fillId="0" borderId="0" xfId="1" applyNumberFormat="1" applyFont="1"/>
    <xf numFmtId="165" fontId="2" fillId="0" borderId="9" xfId="0" applyNumberFormat="1" applyFont="1" applyBorder="1"/>
    <xf numFmtId="0" fontId="6" fillId="0" borderId="9" xfId="0" applyFont="1" applyBorder="1"/>
    <xf numFmtId="3" fontId="5" fillId="0" borderId="0" xfId="1" applyNumberFormat="1" applyFont="1"/>
    <xf numFmtId="0" fontId="2" fillId="0" borderId="9" xfId="0" applyFont="1" applyBorder="1"/>
    <xf numFmtId="0" fontId="0" fillId="0" borderId="7" xfId="0" applyBorder="1"/>
    <xf numFmtId="164" fontId="2" fillId="0" borderId="13" xfId="0" applyNumberFormat="1" applyFont="1" applyBorder="1"/>
    <xf numFmtId="3" fontId="5" fillId="0" borderId="9" xfId="0" applyNumberFormat="1" applyFont="1" applyBorder="1"/>
    <xf numFmtId="3" fontId="0" fillId="0" borderId="9" xfId="0" applyNumberFormat="1" applyBorder="1"/>
    <xf numFmtId="164" fontId="2" fillId="0" borderId="8" xfId="0" applyNumberFormat="1" applyFont="1" applyBorder="1"/>
    <xf numFmtId="3" fontId="2" fillId="0" borderId="0" xfId="0" applyNumberFormat="1" applyFont="1"/>
    <xf numFmtId="3" fontId="2" fillId="0" borderId="9" xfId="0" applyNumberFormat="1" applyFont="1" applyBorder="1"/>
    <xf numFmtId="165" fontId="2" fillId="0" borderId="10" xfId="0" applyNumberFormat="1" applyFont="1" applyBorder="1"/>
    <xf numFmtId="0" fontId="5" fillId="0" borderId="9" xfId="1" applyNumberFormat="1" applyFont="1" applyBorder="1"/>
    <xf numFmtId="44" fontId="2" fillId="0" borderId="9" xfId="1" applyFont="1" applyBorder="1"/>
    <xf numFmtId="9" fontId="0" fillId="0" borderId="0" xfId="0" applyNumberFormat="1"/>
    <xf numFmtId="9" fontId="5" fillId="0" borderId="0" xfId="2" applyFont="1"/>
    <xf numFmtId="0" fontId="12" fillId="0" borderId="0" xfId="0" applyFont="1"/>
    <xf numFmtId="9" fontId="0" fillId="0" borderId="0" xfId="2" applyFont="1"/>
    <xf numFmtId="44" fontId="0" fillId="0" borderId="0" xfId="1" applyFont="1"/>
    <xf numFmtId="10" fontId="5" fillId="0" borderId="0" xfId="0" applyNumberFormat="1" applyFont="1"/>
    <xf numFmtId="0" fontId="13" fillId="0" borderId="0" xfId="0" applyFont="1"/>
    <xf numFmtId="0" fontId="14" fillId="0" borderId="0" xfId="0" applyFont="1"/>
    <xf numFmtId="37" fontId="0" fillId="0" borderId="0" xfId="1" applyNumberFormat="1" applyFont="1"/>
    <xf numFmtId="2" fontId="2" fillId="2" borderId="0" xfId="0" applyNumberFormat="1" applyFont="1" applyFill="1"/>
    <xf numFmtId="37" fontId="2" fillId="2" borderId="0" xfId="1" applyNumberFormat="1" applyFont="1" applyFill="1"/>
    <xf numFmtId="167" fontId="0" fillId="0" borderId="0" xfId="0" applyNumberFormat="1"/>
    <xf numFmtId="1" fontId="0" fillId="0" borderId="0" xfId="1" applyNumberFormat="1" applyFont="1"/>
    <xf numFmtId="1" fontId="2" fillId="0" borderId="0" xfId="1" applyNumberFormat="1" applyFont="1"/>
    <xf numFmtId="2" fontId="4" fillId="0" borderId="0" xfId="0" applyNumberFormat="1" applyFont="1"/>
    <xf numFmtId="168" fontId="0" fillId="0" borderId="0" xfId="0" applyNumberFormat="1"/>
    <xf numFmtId="10" fontId="5" fillId="0" borderId="0" xfId="2" applyNumberFormat="1" applyFont="1"/>
    <xf numFmtId="166" fontId="0" fillId="0" borderId="0" xfId="0" applyNumberFormat="1"/>
    <xf numFmtId="44" fontId="0" fillId="0" borderId="0" xfId="0" applyNumberFormat="1"/>
    <xf numFmtId="10" fontId="0" fillId="0" borderId="0" xfId="0" applyNumberFormat="1"/>
    <xf numFmtId="170" fontId="5" fillId="0" borderId="0" xfId="0" applyNumberFormat="1" applyFont="1"/>
    <xf numFmtId="4" fontId="5" fillId="0" borderId="0" xfId="0" applyNumberFormat="1" applyFont="1"/>
    <xf numFmtId="169" fontId="5" fillId="0" borderId="0" xfId="0" applyNumberFormat="1" applyFont="1"/>
    <xf numFmtId="171" fontId="0" fillId="0" borderId="0" xfId="0" applyNumberFormat="1"/>
    <xf numFmtId="172" fontId="0" fillId="0" borderId="0" xfId="0" applyNumberFormat="1"/>
    <xf numFmtId="3" fontId="0" fillId="0" borderId="0" xfId="0" quotePrefix="1" applyNumberFormat="1"/>
    <xf numFmtId="4" fontId="0" fillId="0" borderId="0" xfId="0" applyNumberFormat="1"/>
    <xf numFmtId="3" fontId="0" fillId="0" borderId="0" xfId="1" applyNumberFormat="1" applyFont="1"/>
    <xf numFmtId="2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value per share by method ($)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782385577996726"/>
          <c:y val="0.10340312017072632"/>
          <c:w val="0.70825262315651649"/>
          <c:h val="0.8520803265685155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Summary!$A$24:$A$28</c:f>
              <c:strCache>
                <c:ptCount val="5"/>
                <c:pt idx="0">
                  <c:v>DCF (WACC 15.3%, terminal growth 3.0%)</c:v>
                </c:pt>
                <c:pt idx="1">
                  <c:v>Comps: EV / EBITDA (peer median)</c:v>
                </c:pt>
                <c:pt idx="2">
                  <c:v>Comps: EV / Revenue (peer median)</c:v>
                </c:pt>
                <c:pt idx="3">
                  <c:v>Current share price</c:v>
                </c:pt>
                <c:pt idx="4">
                  <c:v>DCF at 9.3% WACC (low discount rate) </c:v>
                </c:pt>
              </c:strCache>
            </c:strRef>
          </c:cat>
          <c:val>
            <c:numRef>
              <c:f>Summary!$B$24:$B$28</c:f>
              <c:numCache>
                <c:formatCode>0.00</c:formatCode>
                <c:ptCount val="5"/>
                <c:pt idx="0">
                  <c:v>5.273234321167692</c:v>
                </c:pt>
                <c:pt idx="1">
                  <c:v>49.679288828232018</c:v>
                </c:pt>
                <c:pt idx="2">
                  <c:v>163.35206229814182</c:v>
                </c:pt>
                <c:pt idx="3">
                  <c:v>91.69</c:v>
                </c:pt>
                <c:pt idx="4">
                  <c:v>14.479720777081734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4-BE47-8902-6AD4E1AE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007391"/>
        <c:axId val="1334009103"/>
      </c:barChart>
      <c:catAx>
        <c:axId val="133400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9103"/>
        <c:crosses val="autoZero"/>
        <c:auto val="1"/>
        <c:lblAlgn val="ctr"/>
        <c:lblOffset val="100"/>
        <c:noMultiLvlLbl val="0"/>
      </c:catAx>
      <c:valAx>
        <c:axId val="133400910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00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</a:t>
            </a:r>
            <a:r>
              <a:rPr lang="en-US" baseline="0"/>
              <a:t> value per share by method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737881823188704"/>
          <c:y val="0.12051388313302942"/>
          <c:w val="0.70940064275209258"/>
          <c:h val="0.727986699031042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'Valuation Summary'!$B$3</c:f>
              <c:strCache>
                <c:ptCount val="1"/>
                <c:pt idx="0">
                  <c:v>Value per share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'Valuation Summary'!$A$4:$A$8</c:f>
              <c:strCache>
                <c:ptCount val="5"/>
                <c:pt idx="0">
                  <c:v>DCF (WACC 15.3%, terminal growth 3.0%)</c:v>
                </c:pt>
                <c:pt idx="1">
                  <c:v>Comps: EV / EBITDA (peer median)</c:v>
                </c:pt>
                <c:pt idx="2">
                  <c:v>Comps: EV / Revenue (peer median)</c:v>
                </c:pt>
                <c:pt idx="3">
                  <c:v>Current share price</c:v>
                </c:pt>
                <c:pt idx="4">
                  <c:v>DCF at 9.3% WACC (low discount rate) </c:v>
                </c:pt>
              </c:strCache>
            </c:strRef>
          </c:cat>
          <c:val>
            <c:numRef>
              <c:f>'Valuation Summary'!$B$4:$B$8</c:f>
              <c:numCache>
                <c:formatCode>0.0"x"</c:formatCode>
                <c:ptCount val="5"/>
                <c:pt idx="0" formatCode="0.00&quot;x&quot;">
                  <c:v>5.273234321167692</c:v>
                </c:pt>
                <c:pt idx="1">
                  <c:v>49.679288828232018</c:v>
                </c:pt>
                <c:pt idx="2">
                  <c:v>163.35206229814182</c:v>
                </c:pt>
                <c:pt idx="3" formatCode="0.00&quot;x&quot;">
                  <c:v>91.69</c:v>
                </c:pt>
                <c:pt idx="4" formatCode="0.00&quot;x&quot;">
                  <c:v>14.479720777081734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E-0D40-B161-5B1432B6F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175311"/>
        <c:axId val="1136086703"/>
      </c:barChart>
      <c:catAx>
        <c:axId val="1136175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086703"/>
        <c:crosses val="autoZero"/>
        <c:auto val="1"/>
        <c:lblAlgn val="ctr"/>
        <c:lblOffset val="100"/>
        <c:noMultiLvlLbl val="0"/>
      </c:catAx>
      <c:valAx>
        <c:axId val="1136086703"/>
        <c:scaling>
          <c:orientation val="minMax"/>
        </c:scaling>
        <c:delete val="0"/>
        <c:axPos val="b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7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32</xdr:row>
      <xdr:rowOff>12700</xdr:rowOff>
    </xdr:from>
    <xdr:to>
      <xdr:col>6</xdr:col>
      <xdr:colOff>127000</xdr:colOff>
      <xdr:row>58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6B06F-298C-996A-F6C8-602C2091A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12700</xdr:rowOff>
    </xdr:from>
    <xdr:to>
      <xdr:col>6</xdr:col>
      <xdr:colOff>558800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2532E-8958-0E10-7057-A4B387387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7BE9-DDAD-A940-83BD-4C499728650C}">
  <dimension ref="A1:G28"/>
  <sheetViews>
    <sheetView workbookViewId="0">
      <selection activeCell="A4" sqref="A4"/>
    </sheetView>
  </sheetViews>
  <sheetFormatPr baseColWidth="10" defaultRowHeight="16"/>
  <cols>
    <col min="1" max="1" width="37.33203125" bestFit="1" customWidth="1"/>
    <col min="2" max="2" width="16" bestFit="1" customWidth="1"/>
    <col min="3" max="7" width="14.6640625" bestFit="1" customWidth="1"/>
  </cols>
  <sheetData>
    <row r="1" spans="1:7">
      <c r="A1" s="2" t="s">
        <v>439</v>
      </c>
    </row>
    <row r="2" spans="1:7">
      <c r="A2" t="s">
        <v>445</v>
      </c>
      <c r="B2" t="str">
        <f>Scenarios!B2</f>
        <v>Base</v>
      </c>
    </row>
    <row r="3" spans="1:7">
      <c r="A3" t="s">
        <v>440</v>
      </c>
      <c r="B3" t="str">
        <f>Checks!B14</f>
        <v>ALL CHECKS PASS</v>
      </c>
    </row>
    <row r="5" spans="1:7">
      <c r="A5" s="2" t="s">
        <v>441</v>
      </c>
      <c r="B5" s="2" t="str">
        <f>'Income Statement'!D1</f>
        <v>FY2025</v>
      </c>
      <c r="C5" s="2" t="str">
        <f>'Income Statement'!E1</f>
        <v>FY2026E</v>
      </c>
      <c r="D5" s="2" t="str">
        <f>'Income Statement'!F1</f>
        <v>FY2027E</v>
      </c>
      <c r="E5" s="2" t="str">
        <f>'Income Statement'!G1</f>
        <v>FY2028E</v>
      </c>
      <c r="F5" s="2" t="str">
        <f>'Income Statement'!H1</f>
        <v>FY2029E</v>
      </c>
      <c r="G5" s="2" t="str">
        <f>'Income Statement'!I1</f>
        <v>FY2030E</v>
      </c>
    </row>
    <row r="6" spans="1:7">
      <c r="A6" t="s">
        <v>442</v>
      </c>
      <c r="B6" s="108">
        <f>'Income Statement'!D2</f>
        <v>52853</v>
      </c>
      <c r="C6" s="108">
        <f>'Income Statement'!E2</f>
        <v>60780.95</v>
      </c>
      <c r="D6" s="108">
        <f>'Income Statement'!F2</f>
        <v>68074.664000000004</v>
      </c>
      <c r="E6" s="108">
        <f>'Income Statement'!G2</f>
        <v>74882.130400000009</v>
      </c>
      <c r="F6" s="108">
        <f>'Income Statement'!H2</f>
        <v>80872.700832000017</v>
      </c>
      <c r="G6" s="108">
        <f>'Income Statement'!I2</f>
        <v>85725.062881920021</v>
      </c>
    </row>
    <row r="7" spans="1:7">
      <c r="A7" t="s">
        <v>25</v>
      </c>
      <c r="B7" s="108">
        <f>'Income Statement'!D9</f>
        <v>-2214</v>
      </c>
      <c r="C7" s="108">
        <f>'Income Statement'!E9</f>
        <v>-1784.3810000000012</v>
      </c>
      <c r="D7" s="108">
        <f>'Income Statement'!F9</f>
        <v>2244.1065199999975</v>
      </c>
      <c r="E7" s="108">
        <f>'Income Statement'!G9</f>
        <v>5739.3917359999978</v>
      </c>
      <c r="F7" s="108">
        <f>'Income Statement'!H9</f>
        <v>8395.9970915200029</v>
      </c>
      <c r="G7" s="108">
        <f>'Income Statement'!I9</f>
        <v>9787.0075458304018</v>
      </c>
    </row>
    <row r="8" spans="1:7">
      <c r="A8" t="s">
        <v>443</v>
      </c>
      <c r="B8" s="108">
        <f>'Income Statement'!D16</f>
        <v>-267</v>
      </c>
      <c r="C8" s="108">
        <f>'Income Statement'!E16</f>
        <v>-1501.9219900000012</v>
      </c>
      <c r="D8" s="108">
        <f>'Income Statement'!F16</f>
        <v>1715.3318743197071</v>
      </c>
      <c r="E8" s="108">
        <f>'Income Statement'!G16</f>
        <v>4528.2873874033194</v>
      </c>
      <c r="F8" s="108">
        <f>'Income Statement'!H16</f>
        <v>6774.959331347939</v>
      </c>
      <c r="G8" s="108">
        <f>'Income Statement'!I16</f>
        <v>8105.147000330202</v>
      </c>
    </row>
    <row r="9" spans="1:7">
      <c r="A9" t="s">
        <v>422</v>
      </c>
      <c r="B9" s="59">
        <f>'Income Statement'!D18</f>
        <v>-0.06</v>
      </c>
      <c r="C9" s="59">
        <f>'Income Statement'!E18</f>
        <v>-0.29924904711524503</v>
      </c>
      <c r="D9" s="59">
        <f>'Income Statement'!F18</f>
        <v>0.33838584219781181</v>
      </c>
      <c r="E9" s="59">
        <f>'Income Statement'!G18</f>
        <v>0.8844568181221768</v>
      </c>
      <c r="F9" s="59">
        <f>'Income Statement'!H18</f>
        <v>1.3101709672735187</v>
      </c>
      <c r="G9" s="59">
        <f>'Income Statement'!I18</f>
        <v>1.5518895224440838</v>
      </c>
    </row>
    <row r="10" spans="1:7">
      <c r="A10" t="s">
        <v>231</v>
      </c>
      <c r="C10" s="57">
        <f>Payback!E6</f>
        <v>1368.6193593150674</v>
      </c>
      <c r="D10" s="57">
        <f>Payback!F6</f>
        <v>2490.9790698265533</v>
      </c>
      <c r="E10" s="57">
        <f>Payback!G6</f>
        <v>5503.8848298334506</v>
      </c>
      <c r="F10" s="57">
        <f>Payback!H6</f>
        <v>8444.9041376218793</v>
      </c>
      <c r="G10" s="57">
        <f>Payback!I6</f>
        <v>9940.1581397418631</v>
      </c>
    </row>
    <row r="11" spans="1:7">
      <c r="A11" t="s">
        <v>286</v>
      </c>
      <c r="C11" s="92">
        <f>'Credit Ratios'!E9</f>
        <v>4.272389095291099</v>
      </c>
      <c r="D11" s="92">
        <f>'Credit Ratios'!F9</f>
        <v>2.9738411245151424</v>
      </c>
      <c r="E11" s="92">
        <f>'Credit Ratios'!G9</f>
        <v>2.30982826492746</v>
      </c>
      <c r="F11" s="92">
        <f>'Credit Ratios'!H9</f>
        <v>1.928089833787924</v>
      </c>
      <c r="G11" s="92">
        <f>'Credit Ratios'!I9</f>
        <v>1.7458018721196873</v>
      </c>
    </row>
    <row r="12" spans="1:7">
      <c r="A12" t="s">
        <v>444</v>
      </c>
      <c r="B12" s="89">
        <f>'Balance Sheet'!D4</f>
        <v>14265</v>
      </c>
      <c r="C12" s="89">
        <f>'Balance Sheet'!E4</f>
        <v>14383.619359315067</v>
      </c>
      <c r="D12" s="89">
        <f>'Balance Sheet'!F4</f>
        <v>14961.598429141621</v>
      </c>
      <c r="E12" s="89">
        <f>'Balance Sheet'!G4</f>
        <v>18878.983258975073</v>
      </c>
      <c r="F12" s="89">
        <f>'Balance Sheet'!H4</f>
        <v>25679.887396596954</v>
      </c>
      <c r="G12" s="89">
        <f>'Balance Sheet'!I4</f>
        <v>34245.045536338817</v>
      </c>
    </row>
    <row r="14" spans="1:7">
      <c r="A14" s="2" t="s">
        <v>416</v>
      </c>
      <c r="C14" t="s">
        <v>221</v>
      </c>
      <c r="D14" t="s">
        <v>222</v>
      </c>
      <c r="E14" t="s">
        <v>419</v>
      </c>
    </row>
    <row r="15" spans="1:7">
      <c r="A15" t="s">
        <v>447</v>
      </c>
      <c r="C15" s="3">
        <f>Scenarios!C22</f>
        <v>85725.062881920021</v>
      </c>
      <c r="D15" s="3">
        <f>Scenarios!D22</f>
        <v>95429.786981760015</v>
      </c>
      <c r="E15" s="3">
        <f>Scenarios!E22</f>
        <v>68054.857232544004</v>
      </c>
    </row>
    <row r="16" spans="1:7">
      <c r="A16" t="s">
        <v>421</v>
      </c>
      <c r="C16" s="3">
        <f>Scenarios!C23</f>
        <v>8105.147000330202</v>
      </c>
      <c r="D16" s="3">
        <f>Scenarios!D23</f>
        <v>13183.475776934663</v>
      </c>
      <c r="E16" s="3">
        <f>Scenarios!E23</f>
        <v>4038.8517106659074</v>
      </c>
      <c r="F16" s="3"/>
      <c r="G16" s="3"/>
    </row>
    <row r="17" spans="1:5">
      <c r="A17" t="s">
        <v>448</v>
      </c>
      <c r="C17" s="59">
        <f>Scenarios!C24</f>
        <v>1.5518895224440838</v>
      </c>
      <c r="D17" s="59">
        <f>Scenarios!D24</f>
        <v>2.5242352701051289</v>
      </c>
      <c r="E17" s="59">
        <f>Scenarios!E24</f>
        <v>0.77331745522103867</v>
      </c>
    </row>
    <row r="18" spans="1:5">
      <c r="A18" t="s">
        <v>449</v>
      </c>
      <c r="C18" s="3">
        <f>Scenarios!C25</f>
        <v>34692.045536338817</v>
      </c>
      <c r="D18" s="3">
        <f>Scenarios!D25</f>
        <v>53809.716555326922</v>
      </c>
      <c r="E18" s="3">
        <f>Scenarios!E25</f>
        <v>23929.384162026479</v>
      </c>
    </row>
    <row r="19" spans="1:5">
      <c r="A19" t="s">
        <v>450</v>
      </c>
      <c r="C19" s="92">
        <f>Scenarios!C26</f>
        <v>1.7458018721196873</v>
      </c>
      <c r="D19" s="92">
        <f>Scenarios!D26</f>
        <v>1.3937562993962662</v>
      </c>
      <c r="E19" s="92">
        <f>Scenarios!E26</f>
        <v>2.2502592753889576</v>
      </c>
    </row>
    <row r="20" spans="1:5">
      <c r="A20" t="s">
        <v>424</v>
      </c>
      <c r="C20" s="107">
        <f>Scenarios!C27</f>
        <v>5.273234321167692</v>
      </c>
      <c r="D20" s="107">
        <f>Scenarios!D27</f>
        <v>12.199706201464082</v>
      </c>
      <c r="E20" s="107">
        <f>Scenarios!E27</f>
        <v>1.9665087052204273</v>
      </c>
    </row>
    <row r="23" spans="1:5">
      <c r="A23" s="2" t="s">
        <v>446</v>
      </c>
    </row>
    <row r="24" spans="1:5">
      <c r="A24" t="str">
        <f>'Valuation Summary'!A4</f>
        <v>DCF (WACC 15.3%, terminal growth 3.0%)</v>
      </c>
      <c r="B24" s="109">
        <f>'Valuation Summary'!B4</f>
        <v>5.273234321167692</v>
      </c>
      <c r="C24" t="str">
        <f>'Valuation Summary'!C4</f>
        <v xml:space="preserve">Base Case </v>
      </c>
    </row>
    <row r="25" spans="1:5">
      <c r="A25" t="str">
        <f>'Valuation Summary'!A5</f>
        <v>Comps: EV / EBITDA (peer median)</v>
      </c>
      <c r="B25" s="109">
        <f>'Valuation Summary'!B5</f>
        <v>49.679288828232018</v>
      </c>
      <c r="C25" t="str">
        <f>'Valuation Summary'!C5</f>
        <v xml:space="preserve">Trailing </v>
      </c>
    </row>
    <row r="26" spans="1:5">
      <c r="A26" t="str">
        <f>'Valuation Summary'!A6</f>
        <v>Comps: EV / Revenue (peer median)</v>
      </c>
      <c r="B26" s="109">
        <f>'Valuation Summary'!B6</f>
        <v>163.35206229814182</v>
      </c>
      <c r="C26" t="str">
        <f>'Valuation Summary'!C6</f>
        <v xml:space="preserve">Trailing </v>
      </c>
    </row>
    <row r="27" spans="1:5">
      <c r="A27" t="str">
        <f>'Valuation Summary'!A7</f>
        <v>Current share price</v>
      </c>
      <c r="B27" s="109">
        <f>'Valuation Summary'!B7</f>
        <v>91.69</v>
      </c>
      <c r="C27" t="str">
        <f>'Valuation Summary'!C7</f>
        <v xml:space="preserve">Market, Oct 21 2026 </v>
      </c>
    </row>
    <row r="28" spans="1:5">
      <c r="A28" t="str">
        <f>'Valuation Summary'!A8</f>
        <v xml:space="preserve">DCF at 9.3% WACC (low discount rate) </v>
      </c>
      <c r="B28" s="109">
        <f>'Valuation Summary'!B8</f>
        <v>14.479720777081734</v>
      </c>
      <c r="C28" t="str">
        <f>'Valuation Summary'!C8</f>
        <v>9.3% WACC, 3.0% terminal growth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84AB-5535-8B40-AEA6-CF54A93C4685}">
  <dimension ref="A1:L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9" sqref="E39"/>
    </sheetView>
  </sheetViews>
  <sheetFormatPr baseColWidth="10" defaultRowHeight="16"/>
  <cols>
    <col min="1" max="1" width="55" bestFit="1" customWidth="1"/>
    <col min="2" max="9" width="15.83203125" customWidth="1"/>
    <col min="10" max="10" width="10.83203125" customWidth="1"/>
  </cols>
  <sheetData>
    <row r="1" spans="1:12">
      <c r="A1" s="2" t="s">
        <v>145</v>
      </c>
      <c r="B1" s="2" t="s">
        <v>146</v>
      </c>
      <c r="C1" s="2" t="s">
        <v>1</v>
      </c>
      <c r="D1" s="2" t="s">
        <v>147</v>
      </c>
      <c r="E1" s="2" t="s">
        <v>158</v>
      </c>
      <c r="F1" s="2" t="s">
        <v>213</v>
      </c>
      <c r="G1" s="2" t="s">
        <v>214</v>
      </c>
      <c r="H1" s="2" t="s">
        <v>215</v>
      </c>
      <c r="I1" s="2" t="s">
        <v>216</v>
      </c>
      <c r="J1" s="2"/>
      <c r="K1" s="2" t="s">
        <v>159</v>
      </c>
    </row>
    <row r="2" spans="1:12">
      <c r="A2" s="49" t="s">
        <v>148</v>
      </c>
      <c r="B2" s="50"/>
      <c r="C2" s="50"/>
      <c r="D2" s="50"/>
      <c r="J2" t="str">
        <f>"Case: "&amp;Scenarios!$B$2</f>
        <v>Case: Base</v>
      </c>
    </row>
    <row r="3" spans="1:12">
      <c r="A3" t="s">
        <v>149</v>
      </c>
      <c r="B3" s="50"/>
      <c r="C3" s="50">
        <f>'Income Statement'!C2/'Income Statement'!B2-1</f>
        <v>-2.0782621523935951E-2</v>
      </c>
      <c r="D3" s="50">
        <f>'Income Statement'!D2/'Income Statement'!C2-1</f>
        <v>-4.6703451912393223E-3</v>
      </c>
      <c r="E3" s="52">
        <f>CHOOSE(Scenarios!$B$1,Scenarios!E5,Scenarios!E6,Scenarios!E7)+Sensitivity!$B$3</f>
        <v>0.15</v>
      </c>
      <c r="F3" s="52">
        <f>CHOOSE(Scenarios!$B$1,Scenarios!F5,Scenarios!F6,Scenarios!F7)+Sensitivity!$B$3</f>
        <v>0.12</v>
      </c>
      <c r="G3" s="52">
        <f>CHOOSE(Scenarios!$B$1,Scenarios!G5,Scenarios!G6,Scenarios!G7)+Sensitivity!$B$3</f>
        <v>0.1</v>
      </c>
      <c r="H3" s="52">
        <f>CHOOSE(Scenarios!$B$1,Scenarios!H5,Scenarios!H6,Scenarios!H7)+Sensitivity!$B$3</f>
        <v>0.08</v>
      </c>
      <c r="I3" s="52">
        <f>CHOOSE(Scenarios!$B$1,Scenarios!I5,Scenarios!I6,Scenarios!I7)+Sensitivity!$B$3</f>
        <v>0.06</v>
      </c>
      <c r="J3" s="52"/>
      <c r="K3" t="s">
        <v>180</v>
      </c>
      <c r="L3" t="s">
        <v>217</v>
      </c>
    </row>
    <row r="4" spans="1:12">
      <c r="A4" s="49" t="s">
        <v>150</v>
      </c>
    </row>
    <row r="5" spans="1:12">
      <c r="A5" t="s">
        <v>151</v>
      </c>
      <c r="B5" s="50">
        <f>'Income Statement'!B4/'Income Statement'!B2+Sensitivity!$B$3</f>
        <v>0.40036512502766097</v>
      </c>
      <c r="C5" s="50">
        <f>'Income Statement'!C4/'Income Statement'!C2+Sensitivity!$B$3</f>
        <v>0.32664168283083184</v>
      </c>
      <c r="D5" s="50">
        <f>'Income Statement'!D4/'Income Statement'!D2+Sensitivity!$B$3</f>
        <v>0.34766238434904356</v>
      </c>
      <c r="E5" s="52">
        <f>CHOOSE(Scenarios!$B$1,Scenarios!E10,Scenarios!E11,Scenarios!E12)</f>
        <v>0.35</v>
      </c>
      <c r="F5" s="52">
        <f>CHOOSE(Scenarios!$B$1,Scenarios!F10,Scenarios!F11,Scenarios!F12)+Sensitivity!$B$4</f>
        <v>0.36</v>
      </c>
      <c r="G5" s="52">
        <f>CHOOSE(Scenarios!$B$1,Scenarios!G10,Scenarios!G11,Scenarios!G12)+Sensitivity!$B$4</f>
        <v>0.37</v>
      </c>
      <c r="H5" s="52">
        <f>CHOOSE(Scenarios!$B$1,Scenarios!H10,Scenarios!H11,Scenarios!H12)+Sensitivity!$B$4</f>
        <v>0.38</v>
      </c>
      <c r="I5" s="52">
        <f>CHOOSE(Scenarios!$B$1,Scenarios!I10,Scenarios!I11,Scenarios!I12)+Sensitivity!$B$4</f>
        <v>0.38</v>
      </c>
      <c r="J5" s="52"/>
      <c r="K5" t="s">
        <v>181</v>
      </c>
    </row>
    <row r="6" spans="1:12">
      <c r="A6" s="1" t="s">
        <v>152</v>
      </c>
      <c r="B6" s="50">
        <f>'Income Statement'!B5/'Income Statement'!B2</f>
        <v>0.29589879766910082</v>
      </c>
      <c r="C6" s="50">
        <f>'Income Statement'!C5/'Income Statement'!C2</f>
        <v>0.31159488521873413</v>
      </c>
      <c r="D6" s="50">
        <f>'Income Statement'!D5/'Income Statement'!D2</f>
        <v>0.26060961534823002</v>
      </c>
      <c r="E6" s="54">
        <v>0.24</v>
      </c>
      <c r="F6" s="63">
        <v>0.22</v>
      </c>
      <c r="G6" s="63">
        <v>0.2</v>
      </c>
      <c r="H6" s="63">
        <v>0.19</v>
      </c>
      <c r="I6" s="63">
        <v>0.18</v>
      </c>
      <c r="J6" s="54"/>
      <c r="K6" t="s">
        <v>182</v>
      </c>
    </row>
    <row r="7" spans="1:12">
      <c r="A7" s="1" t="s">
        <v>153</v>
      </c>
      <c r="B7" s="50">
        <f>'Income Statement'!B6/'Income Statement'!B2</f>
        <v>0.10389466696171719</v>
      </c>
      <c r="C7" s="50">
        <f>'Income Statement'!C6/'Income Statement'!C2</f>
        <v>0.10370802809739929</v>
      </c>
      <c r="D7" s="50">
        <f>'Income Statement'!D6/'Income Statement'!D2</f>
        <v>8.7487938243808294E-2</v>
      </c>
      <c r="E7" s="52">
        <v>0.09</v>
      </c>
      <c r="F7" s="52">
        <v>8.5000000000000006E-2</v>
      </c>
      <c r="G7" s="52">
        <v>0.08</v>
      </c>
      <c r="H7" s="52">
        <v>0.08</v>
      </c>
      <c r="I7" s="52">
        <v>0.08</v>
      </c>
      <c r="J7" s="52"/>
      <c r="K7" t="s">
        <v>183</v>
      </c>
    </row>
    <row r="8" spans="1:12">
      <c r="A8" s="49" t="s">
        <v>154</v>
      </c>
      <c r="B8" s="51"/>
      <c r="C8" s="51"/>
      <c r="D8" s="51"/>
    </row>
    <row r="9" spans="1:12" ht="17">
      <c r="A9" s="1" t="s">
        <v>155</v>
      </c>
      <c r="B9" s="50">
        <f>'Income Statement'!B13/'Income Statement'!B12</f>
        <v>-1.1981627296587927</v>
      </c>
      <c r="C9" s="50">
        <f>'Income Statement'!C13/'Income Statement'!C12</f>
        <v>-0.71570026761819805</v>
      </c>
      <c r="D9" s="50">
        <f>'Income Statement'!D13/'Income Statement'!D12</f>
        <v>0.98330122029543998</v>
      </c>
      <c r="E9" s="52">
        <v>0.21</v>
      </c>
      <c r="F9" s="52">
        <v>0.21</v>
      </c>
      <c r="G9" s="52">
        <v>0.21</v>
      </c>
      <c r="H9" s="52">
        <v>0.21</v>
      </c>
      <c r="I9" s="52">
        <v>0.21</v>
      </c>
      <c r="J9" s="52"/>
      <c r="K9" s="1" t="s">
        <v>185</v>
      </c>
      <c r="L9" s="58"/>
    </row>
    <row r="10" spans="1:12">
      <c r="A10" s="49" t="s">
        <v>156</v>
      </c>
    </row>
    <row r="11" spans="1:12">
      <c r="A11" s="1" t="s">
        <v>157</v>
      </c>
      <c r="D11">
        <v>447</v>
      </c>
      <c r="E11" s="60">
        <v>447</v>
      </c>
      <c r="F11" s="60">
        <v>447</v>
      </c>
      <c r="G11" s="60">
        <v>447</v>
      </c>
      <c r="H11" s="60">
        <v>447</v>
      </c>
      <c r="I11" s="60">
        <v>447</v>
      </c>
      <c r="J11" s="60"/>
      <c r="K11" t="s">
        <v>184</v>
      </c>
    </row>
    <row r="12" spans="1:12">
      <c r="A12" s="1" t="s">
        <v>173</v>
      </c>
      <c r="E12" s="23">
        <v>3000</v>
      </c>
      <c r="F12" s="23">
        <v>1500</v>
      </c>
      <c r="G12" s="23">
        <v>1000</v>
      </c>
      <c r="H12" s="23">
        <v>500</v>
      </c>
      <c r="I12" s="23">
        <v>500</v>
      </c>
      <c r="J12" s="23"/>
      <c r="K12" t="s">
        <v>186</v>
      </c>
    </row>
    <row r="13" spans="1:12">
      <c r="A13" s="1" t="s">
        <v>174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/>
      <c r="K13" t="s">
        <v>178</v>
      </c>
    </row>
    <row r="14" spans="1:12">
      <c r="A14" s="1" t="s">
        <v>269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/>
      <c r="K14" t="s">
        <v>179</v>
      </c>
    </row>
    <row r="15" spans="1:12">
      <c r="A15" s="1" t="s">
        <v>175</v>
      </c>
      <c r="E15" s="27">
        <v>293</v>
      </c>
      <c r="F15" s="27">
        <v>293</v>
      </c>
      <c r="G15" s="27">
        <v>293</v>
      </c>
      <c r="H15" s="27">
        <v>293</v>
      </c>
      <c r="I15" s="27">
        <v>293</v>
      </c>
      <c r="J15" s="27"/>
      <c r="K15" t="s">
        <v>187</v>
      </c>
    </row>
    <row r="16" spans="1:12" ht="17">
      <c r="A16" s="1" t="s">
        <v>176</v>
      </c>
      <c r="E16" s="3">
        <f>'Share Count'!E9</f>
        <v>5018.9699999999993</v>
      </c>
      <c r="F16" s="3">
        <f>'Share Count'!F9</f>
        <v>5069.1597000000002</v>
      </c>
      <c r="G16" s="3">
        <f>'Share Count'!G9</f>
        <v>5119.8512969999992</v>
      </c>
      <c r="H16" s="3">
        <f>'Share Count'!H9</f>
        <v>5171.0498099699998</v>
      </c>
      <c r="I16" s="3">
        <f>'Share Count'!I9</f>
        <v>5222.760308069699</v>
      </c>
      <c r="J16" s="23"/>
      <c r="K16" s="1" t="s">
        <v>188</v>
      </c>
      <c r="L16" s="58"/>
    </row>
    <row r="17" spans="1:11">
      <c r="A17" s="1" t="s">
        <v>177</v>
      </c>
      <c r="E17" s="3">
        <f>'Share Count'!E9</f>
        <v>5018.9699999999993</v>
      </c>
      <c r="F17" s="3">
        <f>'Share Count'!F9</f>
        <v>5069.1597000000002</v>
      </c>
      <c r="G17" s="3">
        <f>'Share Count'!G9</f>
        <v>5119.8512969999992</v>
      </c>
      <c r="H17" s="3">
        <f>'Share Count'!H9</f>
        <v>5171.0498099699998</v>
      </c>
      <c r="I17" s="3">
        <f>'Share Count'!I9</f>
        <v>5222.760308069699</v>
      </c>
      <c r="J17" s="23"/>
      <c r="K17" s="1" t="s">
        <v>189</v>
      </c>
    </row>
    <row r="20" spans="1:11">
      <c r="A20" s="2" t="s">
        <v>195</v>
      </c>
    </row>
    <row r="21" spans="1:11">
      <c r="A21" t="s">
        <v>202</v>
      </c>
      <c r="B21" s="59">
        <f>'Balance Sheet'!B6/'Income Statement'!B2*365</f>
        <v>22.898318211993807</v>
      </c>
      <c r="C21" s="59">
        <f>'Balance Sheet'!C6/'Income Statement'!C2*365</f>
        <v>23.906706088397584</v>
      </c>
      <c r="D21" s="59">
        <f>'Balance Sheet'!D6/'Income Statement'!D2*365</f>
        <v>26.511929313378616</v>
      </c>
      <c r="E21" s="27">
        <v>28</v>
      </c>
      <c r="F21" s="27">
        <v>28</v>
      </c>
      <c r="G21" s="27">
        <v>28</v>
      </c>
      <c r="H21" s="27">
        <v>28</v>
      </c>
      <c r="I21" s="27">
        <v>28</v>
      </c>
      <c r="J21" s="27"/>
      <c r="K21" t="s">
        <v>198</v>
      </c>
    </row>
    <row r="22" spans="1:11">
      <c r="A22" t="s">
        <v>196</v>
      </c>
      <c r="B22" s="59">
        <f>'Balance Sheet'!B7/'Income Statement'!B3*365</f>
        <v>124.89943721745549</v>
      </c>
      <c r="C22" s="59">
        <f>'Balance Sheet'!C7/'Income Statement'!C3*365</f>
        <v>124.51812283253162</v>
      </c>
      <c r="D22" s="59">
        <f>'Balance Sheet'!D7/'Income Statement'!D3*365</f>
        <v>122.99350310342828</v>
      </c>
      <c r="E22" s="27">
        <v>121</v>
      </c>
      <c r="F22" s="27">
        <v>121</v>
      </c>
      <c r="G22" s="27">
        <v>121</v>
      </c>
      <c r="H22" s="27">
        <v>121</v>
      </c>
      <c r="I22" s="27">
        <v>121</v>
      </c>
      <c r="J22" s="27"/>
      <c r="K22" t="s">
        <v>199</v>
      </c>
    </row>
    <row r="23" spans="1:11">
      <c r="A23" t="s">
        <v>197</v>
      </c>
      <c r="B23" s="59">
        <f>'Balance Sheet'!B20/'Income Statement'!B3*365</f>
        <v>96.287172863425297</v>
      </c>
      <c r="C23" s="59">
        <f>'Balance Sheet'!C20/'Income Statement'!C3*365</f>
        <v>128.17261438639667</v>
      </c>
      <c r="D23" s="59">
        <f>'Balance Sheet'!D20/'Income Statement'!D3*365</f>
        <v>104.6154069261558</v>
      </c>
      <c r="E23" s="27">
        <v>112</v>
      </c>
      <c r="F23" s="27">
        <v>112</v>
      </c>
      <c r="G23" s="27">
        <v>112</v>
      </c>
      <c r="H23" s="27">
        <v>112</v>
      </c>
      <c r="I23" s="27">
        <v>112</v>
      </c>
      <c r="J23" s="27"/>
      <c r="K23" t="s">
        <v>200</v>
      </c>
    </row>
    <row r="25" spans="1:11">
      <c r="A25" s="2" t="s">
        <v>203</v>
      </c>
    </row>
    <row r="26" spans="1:11">
      <c r="A26" t="s">
        <v>204</v>
      </c>
      <c r="B26" s="62">
        <f>-'Cash Flow Statement'!B25/'Income Statement'!B2</f>
        <v>0.4748469425389098</v>
      </c>
      <c r="C26" s="62">
        <f>-'Cash Flow Statement'!C25/'Income Statement'!C2</f>
        <v>0.45091429539933336</v>
      </c>
      <c r="D26" s="62">
        <f>-'Cash Flow Statement'!D25/'Income Statement'!D2</f>
        <v>0.27710820577829071</v>
      </c>
      <c r="E26" s="54">
        <f>CHOOSE(Scenarios!$B$1,Scenarios!E15,Scenarios!E16,Scenarios!E17)</f>
        <v>0.2</v>
      </c>
      <c r="F26" s="54">
        <f>CHOOSE(Scenarios!$B$1, Scenarios!F15, Scenarios!F16, Scenarios!F17)</f>
        <v>0.2</v>
      </c>
      <c r="G26" s="54">
        <f>CHOOSE(Scenarios!$B$1, Scenarios!G15, Scenarios!G16, Scenarios!G17)</f>
        <v>0.18</v>
      </c>
      <c r="H26" s="54">
        <f>CHOOSE(Scenarios!$B$1, Scenarios!H15, Scenarios!H16, Scenarios!H17)</f>
        <v>0.16</v>
      </c>
      <c r="I26" s="54">
        <f>CHOOSE(Scenarios!$B$1, Scenarios!I15, Scenarios!I16, Scenarios!I17)</f>
        <v>0.15</v>
      </c>
      <c r="J26" s="54"/>
      <c r="K26" t="s">
        <v>207</v>
      </c>
    </row>
    <row r="27" spans="1:11">
      <c r="A27" t="s">
        <v>205</v>
      </c>
      <c r="B27" s="62" t="s">
        <v>206</v>
      </c>
      <c r="C27" s="62">
        <f>'Cash Flow Statement'!C6/'Balance Sheet'!B11</f>
        <v>0.10296232681821474</v>
      </c>
      <c r="D27" s="62">
        <f>'Cash Flow Statement'!D6/'Balance Sheet'!C11</f>
        <v>9.9676609308833472E-2</v>
      </c>
      <c r="E27" s="63">
        <v>0.11</v>
      </c>
      <c r="F27" s="63">
        <v>0.11</v>
      </c>
      <c r="G27" s="63">
        <v>0.11</v>
      </c>
      <c r="H27" s="63">
        <v>0.11</v>
      </c>
      <c r="I27" s="63">
        <v>0.11</v>
      </c>
      <c r="J27" s="63"/>
      <c r="K27" t="s">
        <v>208</v>
      </c>
    </row>
    <row r="28" spans="1:11">
      <c r="A28" t="s">
        <v>210</v>
      </c>
      <c r="B28" s="23">
        <v>1755</v>
      </c>
      <c r="C28" s="23">
        <v>1428</v>
      </c>
      <c r="D28" s="27">
        <v>949</v>
      </c>
      <c r="E28" s="27">
        <v>800</v>
      </c>
      <c r="F28" s="27">
        <v>700</v>
      </c>
      <c r="G28" s="27">
        <v>500</v>
      </c>
      <c r="H28" s="27">
        <v>400</v>
      </c>
      <c r="I28" s="27">
        <v>300</v>
      </c>
      <c r="J28" s="27"/>
    </row>
    <row r="29" spans="1:11">
      <c r="A29" t="s">
        <v>211</v>
      </c>
      <c r="B29" s="23">
        <v>3229</v>
      </c>
      <c r="C29" s="23">
        <v>3410</v>
      </c>
      <c r="D29" s="23">
        <v>2434</v>
      </c>
      <c r="E29" s="23">
        <v>2400</v>
      </c>
      <c r="F29" s="23">
        <v>2400</v>
      </c>
      <c r="G29" s="23">
        <v>2400</v>
      </c>
      <c r="H29" s="23">
        <v>2400</v>
      </c>
      <c r="I29" s="23">
        <v>2400</v>
      </c>
      <c r="J29" s="23"/>
      <c r="K29" t="s">
        <v>219</v>
      </c>
    </row>
    <row r="31" spans="1:11">
      <c r="A31" s="2" t="s">
        <v>256</v>
      </c>
    </row>
    <row r="32" spans="1:11" ht="17">
      <c r="A32" s="58" t="s">
        <v>257</v>
      </c>
      <c r="E32" s="24">
        <v>2500</v>
      </c>
      <c r="F32" s="24">
        <v>3826</v>
      </c>
      <c r="G32" s="24">
        <v>3173</v>
      </c>
      <c r="H32" s="24">
        <v>3288</v>
      </c>
      <c r="I32" s="24">
        <v>2750</v>
      </c>
      <c r="K32" t="s">
        <v>277</v>
      </c>
    </row>
    <row r="33" spans="1:11">
      <c r="A33" t="s">
        <v>258</v>
      </c>
      <c r="E33" s="63">
        <v>0.5</v>
      </c>
      <c r="F33" s="63">
        <v>0.5</v>
      </c>
      <c r="G33" s="63">
        <v>0.5</v>
      </c>
      <c r="H33" s="63">
        <v>0.5</v>
      </c>
      <c r="I33" s="63">
        <v>0.5</v>
      </c>
      <c r="K33" t="s">
        <v>278</v>
      </c>
    </row>
    <row r="34" spans="1:11">
      <c r="A34" t="s">
        <v>267</v>
      </c>
      <c r="E34" s="86">
        <v>3.7499999999999999E-2</v>
      </c>
      <c r="F34" s="86">
        <v>3.7499999999999999E-2</v>
      </c>
      <c r="G34" s="86">
        <v>3.7499999999999999E-2</v>
      </c>
      <c r="H34" s="86">
        <v>3.7499999999999999E-2</v>
      </c>
      <c r="I34" s="86">
        <v>3.7499999999999999E-2</v>
      </c>
      <c r="K34" t="s">
        <v>279</v>
      </c>
    </row>
    <row r="35" spans="1:11">
      <c r="A35" t="s">
        <v>268</v>
      </c>
      <c r="E35" s="86">
        <v>2.5000000000000001E-2</v>
      </c>
      <c r="F35" s="86">
        <v>2.5000000000000001E-2</v>
      </c>
      <c r="G35" s="86">
        <v>2.5000000000000001E-2</v>
      </c>
      <c r="H35" s="86">
        <v>2.5000000000000001E-2</v>
      </c>
      <c r="I35" s="86">
        <v>2.5000000000000001E-2</v>
      </c>
      <c r="K35" t="s">
        <v>280</v>
      </c>
    </row>
    <row r="38" spans="1:11">
      <c r="A38" t="s">
        <v>305</v>
      </c>
      <c r="E38" t="str">
        <f>Checks!B14</f>
        <v>ALL CHECKS 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2431-DE7A-A443-9DF5-BA304FEE1D1F}">
  <dimension ref="A1:J3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3" sqref="A23"/>
    </sheetView>
  </sheetViews>
  <sheetFormatPr baseColWidth="10" defaultRowHeight="16"/>
  <cols>
    <col min="1" max="1" width="48.5" bestFit="1" customWidth="1"/>
    <col min="2" max="9" width="12.83203125" customWidth="1"/>
    <col min="10" max="10" width="27.1640625" customWidth="1"/>
  </cols>
  <sheetData>
    <row r="1" spans="1:10">
      <c r="A1" s="70" t="s">
        <v>18</v>
      </c>
      <c r="B1" s="70" t="s">
        <v>0</v>
      </c>
      <c r="C1" s="70" t="s">
        <v>1</v>
      </c>
      <c r="D1" s="70" t="s">
        <v>2</v>
      </c>
      <c r="E1" s="70" t="s">
        <v>172</v>
      </c>
      <c r="F1" s="70" t="s">
        <v>213</v>
      </c>
      <c r="G1" s="70" t="s">
        <v>214</v>
      </c>
      <c r="H1" s="70" t="s">
        <v>215</v>
      </c>
      <c r="I1" s="70" t="s">
        <v>216</v>
      </c>
      <c r="J1" s="2" t="s">
        <v>30</v>
      </c>
    </row>
    <row r="2" spans="1:10">
      <c r="A2" s="2" t="s">
        <v>3</v>
      </c>
      <c r="B2" s="9">
        <v>54228</v>
      </c>
      <c r="C2" s="9">
        <v>53101</v>
      </c>
      <c r="D2" s="9">
        <v>52853</v>
      </c>
      <c r="E2" s="4">
        <f>D2*(1+Assumptions!E3)</f>
        <v>60780.95</v>
      </c>
      <c r="F2" s="4">
        <f>E2*(1+Assumptions!F3)</f>
        <v>68074.664000000004</v>
      </c>
      <c r="G2" s="4">
        <f>F2*(1+Assumptions!G3)</f>
        <v>74882.130400000009</v>
      </c>
      <c r="H2" s="4">
        <f>G2*(1+Assumptions!H3)</f>
        <v>80872.700832000017</v>
      </c>
      <c r="I2" s="4">
        <f>H2*(1+Assumptions!I3)</f>
        <v>85725.062881920021</v>
      </c>
      <c r="J2" t="str">
        <f>"Case: "&amp;Scenarios!$B$2</f>
        <v>Case: Base</v>
      </c>
    </row>
    <row r="3" spans="1:10">
      <c r="A3" t="s">
        <v>4</v>
      </c>
      <c r="B3" s="10">
        <v>32517</v>
      </c>
      <c r="C3" s="10">
        <v>35756</v>
      </c>
      <c r="D3" s="10">
        <v>34478</v>
      </c>
      <c r="E3" s="53">
        <f>E2*(1-Assumptions!E5)</f>
        <v>39507.6175</v>
      </c>
      <c r="F3" s="53">
        <f>F2*(1-Assumptions!F5)</f>
        <v>43567.784960000005</v>
      </c>
      <c r="G3" s="53">
        <f>G2*(1-Assumptions!G5)</f>
        <v>47175.742152000006</v>
      </c>
      <c r="H3" s="53">
        <f>H2*(1-Assumptions!H5)</f>
        <v>50141.07451584001</v>
      </c>
      <c r="I3" s="53">
        <f>I2*(1-Assumptions!I5)</f>
        <v>53149.538986790416</v>
      </c>
    </row>
    <row r="4" spans="1:10">
      <c r="A4" s="2" t="s">
        <v>5</v>
      </c>
      <c r="B4" s="6">
        <f>(B2-B3)</f>
        <v>21711</v>
      </c>
      <c r="C4" s="6">
        <f>(C2-C3)</f>
        <v>17345</v>
      </c>
      <c r="D4" s="6">
        <f>(D2-D3)</f>
        <v>18375</v>
      </c>
      <c r="E4" s="72">
        <f>(E2-E3)</f>
        <v>21273.332499999997</v>
      </c>
      <c r="F4" s="72">
        <f t="shared" ref="F4:I4" si="0">(F2-F3)</f>
        <v>24506.87904</v>
      </c>
      <c r="G4" s="72">
        <f t="shared" si="0"/>
        <v>27706.388248000003</v>
      </c>
      <c r="H4" s="72">
        <f t="shared" si="0"/>
        <v>30731.626316160007</v>
      </c>
      <c r="I4" s="72">
        <f t="shared" si="0"/>
        <v>32575.523895129605</v>
      </c>
    </row>
    <row r="5" spans="1:10">
      <c r="A5" s="1" t="s">
        <v>6</v>
      </c>
      <c r="B5" s="11">
        <v>16046</v>
      </c>
      <c r="C5" s="10">
        <v>16546</v>
      </c>
      <c r="D5" s="10">
        <v>13774</v>
      </c>
      <c r="E5" s="3">
        <f>E2*Assumptions!E6</f>
        <v>14587.427999999998</v>
      </c>
      <c r="F5" s="3">
        <f>F2*Assumptions!F6</f>
        <v>14976.426080000001</v>
      </c>
      <c r="G5" s="3">
        <f>G2*Assumptions!G6</f>
        <v>14976.426080000003</v>
      </c>
      <c r="H5" s="3">
        <f>H2*Assumptions!H6</f>
        <v>15365.813158080004</v>
      </c>
      <c r="I5" s="3">
        <f>I2*Assumptions!I6</f>
        <v>15430.511318745603</v>
      </c>
    </row>
    <row r="6" spans="1:10">
      <c r="A6" s="1" t="s">
        <v>19</v>
      </c>
      <c r="B6" s="10">
        <v>5634</v>
      </c>
      <c r="C6" s="10">
        <v>5507</v>
      </c>
      <c r="D6" s="10">
        <v>4624</v>
      </c>
      <c r="E6" s="3">
        <f>E2*Assumptions!E7</f>
        <v>5470.2855</v>
      </c>
      <c r="F6" s="3">
        <f>F2*Assumptions!F7</f>
        <v>5786.3464400000012</v>
      </c>
      <c r="G6" s="3">
        <f>G2*Assumptions!G7</f>
        <v>5990.5704320000004</v>
      </c>
      <c r="H6" s="3">
        <f>H2*Assumptions!H7</f>
        <v>6469.8160665600017</v>
      </c>
      <c r="I6" s="3">
        <f>I2*Assumptions!I7</f>
        <v>6858.0050305536015</v>
      </c>
    </row>
    <row r="7" spans="1:10">
      <c r="A7" s="1" t="s">
        <v>7</v>
      </c>
      <c r="B7" s="10">
        <v>-62</v>
      </c>
      <c r="C7" s="10">
        <v>6970</v>
      </c>
      <c r="D7" s="10">
        <v>2191</v>
      </c>
      <c r="E7" s="23">
        <f>Assumptions!E12</f>
        <v>3000</v>
      </c>
      <c r="F7" s="23">
        <f>Assumptions!F12</f>
        <v>1500</v>
      </c>
      <c r="G7" s="23">
        <f>Assumptions!G12</f>
        <v>1000</v>
      </c>
      <c r="H7" s="23">
        <f>Assumptions!H12</f>
        <v>500</v>
      </c>
      <c r="I7" s="23">
        <f>Assumptions!I12</f>
        <v>500</v>
      </c>
    </row>
    <row r="8" spans="1:10">
      <c r="A8" s="2" t="s">
        <v>8</v>
      </c>
      <c r="B8" s="6">
        <f>SUM(B5:B7)</f>
        <v>21618</v>
      </c>
      <c r="C8" s="6">
        <f>SUM(C5:C7)</f>
        <v>29023</v>
      </c>
      <c r="D8" s="6">
        <f>SUM(D5:D7)</f>
        <v>20589</v>
      </c>
      <c r="E8" s="72">
        <f>SUM(E5:E7)</f>
        <v>23057.713499999998</v>
      </c>
      <c r="F8" s="72">
        <f t="shared" ref="F8:I8" si="1">SUM(F5:F7)</f>
        <v>22262.772520000002</v>
      </c>
      <c r="G8" s="72">
        <f t="shared" si="1"/>
        <v>21966.996512000005</v>
      </c>
      <c r="H8" s="72">
        <f t="shared" si="1"/>
        <v>22335.629224640004</v>
      </c>
      <c r="I8" s="72">
        <f t="shared" si="1"/>
        <v>22788.516349299203</v>
      </c>
    </row>
    <row r="9" spans="1:10">
      <c r="A9" s="2" t="s">
        <v>9</v>
      </c>
      <c r="B9" s="7">
        <f>B4-B8</f>
        <v>93</v>
      </c>
      <c r="C9" s="4">
        <f>C4-C8</f>
        <v>-11678</v>
      </c>
      <c r="D9" s="4">
        <f>D4-D8</f>
        <v>-2214</v>
      </c>
      <c r="E9" s="4">
        <f>E4-E8</f>
        <v>-1784.3810000000012</v>
      </c>
      <c r="F9" s="4">
        <f t="shared" ref="F9:I9" si="2">F4-F8</f>
        <v>2244.1065199999975</v>
      </c>
      <c r="G9" s="4">
        <f t="shared" si="2"/>
        <v>5739.3917359999978</v>
      </c>
      <c r="H9" s="4">
        <f t="shared" si="2"/>
        <v>8395.9970915200029</v>
      </c>
      <c r="I9" s="4">
        <f t="shared" si="2"/>
        <v>9787.0075458304018</v>
      </c>
    </row>
    <row r="10" spans="1:10">
      <c r="A10" s="1" t="s">
        <v>10</v>
      </c>
      <c r="B10" s="10">
        <v>40</v>
      </c>
      <c r="C10" s="10">
        <v>242</v>
      </c>
      <c r="D10" s="10">
        <v>514</v>
      </c>
      <c r="E10" s="23">
        <f>Assumptions!E13</f>
        <v>0</v>
      </c>
      <c r="F10" s="23">
        <f>Assumptions!F13</f>
        <v>0</v>
      </c>
      <c r="G10" s="23">
        <f>Assumptions!G13</f>
        <v>0</v>
      </c>
      <c r="H10" s="23">
        <f>Assumptions!H13</f>
        <v>0</v>
      </c>
      <c r="I10" s="23">
        <f>Assumptions!I13</f>
        <v>0</v>
      </c>
    </row>
    <row r="11" spans="1:10">
      <c r="A11" s="1" t="s">
        <v>11</v>
      </c>
      <c r="B11" s="10">
        <v>629</v>
      </c>
      <c r="C11" s="12">
        <v>226</v>
      </c>
      <c r="D11" s="10">
        <v>3257</v>
      </c>
      <c r="E11" s="74">
        <f>'Debt Schedule'!E20+Assumptions!E14</f>
        <v>254.09999999999991</v>
      </c>
      <c r="F11" s="74">
        <f>'Debt Schedule'!F20+Assumptions!F14</f>
        <v>298.08572597431498</v>
      </c>
      <c r="G11" s="74">
        <f>'Debt Schedule'!G20+Assumptions!G14</f>
        <v>363.50369109281087</v>
      </c>
      <c r="H11" s="74">
        <f>'Debt Schedule'!H20+Assumptions!H14</f>
        <v>550.7868722115652</v>
      </c>
      <c r="I11" s="74">
        <f>'Debt Schedule'!I20+Assumptions!I14</f>
        <v>843.55827737238576</v>
      </c>
    </row>
    <row r="12" spans="1:10">
      <c r="A12" s="2" t="s">
        <v>12</v>
      </c>
      <c r="B12" s="7">
        <f>SUM(B9:B11)</f>
        <v>762</v>
      </c>
      <c r="C12" s="4">
        <f>SUM(C9:C11)</f>
        <v>-11210</v>
      </c>
      <c r="D12" s="7">
        <f>SUM(D9:D11)</f>
        <v>1557</v>
      </c>
      <c r="E12" s="4">
        <f>SUM(E9:E11)</f>
        <v>-1530.2810000000013</v>
      </c>
      <c r="F12" s="4">
        <f t="shared" ref="F12:I12" si="3">SUM(F9:F11)</f>
        <v>2542.1922459743128</v>
      </c>
      <c r="G12" s="4">
        <f t="shared" si="3"/>
        <v>6102.8954270928089</v>
      </c>
      <c r="H12" s="4">
        <f t="shared" si="3"/>
        <v>8946.7839637315683</v>
      </c>
      <c r="I12" s="4">
        <f t="shared" si="3"/>
        <v>10630.565823202787</v>
      </c>
    </row>
    <row r="13" spans="1:10">
      <c r="A13" s="1" t="s">
        <v>13</v>
      </c>
      <c r="B13" s="10">
        <v>-913</v>
      </c>
      <c r="C13" s="10">
        <v>8023</v>
      </c>
      <c r="D13" s="10">
        <v>1531</v>
      </c>
      <c r="E13" s="74">
        <f>E12*Assumptions!E9</f>
        <v>-321.35901000000024</v>
      </c>
      <c r="F13" s="74">
        <f>F12*Assumptions!F9</f>
        <v>533.86037165460561</v>
      </c>
      <c r="G13" s="74">
        <f>G12*Assumptions!G9</f>
        <v>1281.6080396894897</v>
      </c>
      <c r="H13" s="74">
        <f>H12*Assumptions!H9</f>
        <v>1878.8246323836293</v>
      </c>
      <c r="I13" s="74">
        <f>I12*Assumptions!I9</f>
        <v>2232.4188228725852</v>
      </c>
    </row>
    <row r="14" spans="1:10">
      <c r="A14" s="2" t="s">
        <v>14</v>
      </c>
      <c r="B14" s="7">
        <f>SUM(B12-B13)</f>
        <v>1675</v>
      </c>
      <c r="C14" s="7">
        <f>SUM(C12-C13)</f>
        <v>-19233</v>
      </c>
      <c r="D14" s="7">
        <f>SUM(D12-D13)</f>
        <v>26</v>
      </c>
      <c r="E14" s="4">
        <f>SUM(E12-E13)</f>
        <v>-1208.9219900000012</v>
      </c>
      <c r="F14" s="4">
        <f t="shared" ref="F14:I14" si="4">SUM(F12-F13)</f>
        <v>2008.3318743197071</v>
      </c>
      <c r="G14" s="4">
        <f t="shared" si="4"/>
        <v>4821.2873874033194</v>
      </c>
      <c r="H14" s="4">
        <f t="shared" si="4"/>
        <v>7067.959331347939</v>
      </c>
      <c r="I14" s="4">
        <f t="shared" si="4"/>
        <v>8398.147000330202</v>
      </c>
    </row>
    <row r="15" spans="1:10">
      <c r="A15" s="1" t="s">
        <v>23</v>
      </c>
      <c r="B15" s="10">
        <v>-14</v>
      </c>
      <c r="C15" s="10">
        <v>-477</v>
      </c>
      <c r="D15" s="10">
        <v>293</v>
      </c>
      <c r="E15" s="73">
        <f>Assumptions!E15</f>
        <v>293</v>
      </c>
      <c r="F15" s="73">
        <f>Assumptions!F15</f>
        <v>293</v>
      </c>
      <c r="G15" s="73">
        <f>Assumptions!G15</f>
        <v>293</v>
      </c>
      <c r="H15" s="73">
        <f>Assumptions!H15</f>
        <v>293</v>
      </c>
      <c r="I15" s="73">
        <f>Assumptions!I15</f>
        <v>293</v>
      </c>
    </row>
    <row r="16" spans="1:10" ht="17" thickBot="1">
      <c r="A16" s="2" t="s">
        <v>20</v>
      </c>
      <c r="B16" s="8">
        <f>(B14-B15)</f>
        <v>1689</v>
      </c>
      <c r="C16" s="8">
        <f>(C14-C15)</f>
        <v>-18756</v>
      </c>
      <c r="D16" s="8">
        <f>(D14-D15)</f>
        <v>-267</v>
      </c>
      <c r="E16" s="75">
        <f>(E14-E15)</f>
        <v>-1501.9219900000012</v>
      </c>
      <c r="F16" s="75">
        <f t="shared" ref="F16:I16" si="5">(F14-F15)</f>
        <v>1715.3318743197071</v>
      </c>
      <c r="G16" s="75">
        <f t="shared" si="5"/>
        <v>4528.2873874033194</v>
      </c>
      <c r="H16" s="75">
        <f t="shared" si="5"/>
        <v>6774.959331347939</v>
      </c>
      <c r="I16" s="75">
        <f t="shared" si="5"/>
        <v>8105.147000330202</v>
      </c>
    </row>
    <row r="17" spans="1:9" ht="17" thickTop="1">
      <c r="A17" s="2" t="s">
        <v>21</v>
      </c>
      <c r="B17" s="95">
        <v>0.4</v>
      </c>
      <c r="C17" s="95">
        <v>-4.38</v>
      </c>
      <c r="D17" s="95">
        <v>-0.06</v>
      </c>
      <c r="E17" s="95">
        <f>E16/E20</f>
        <v>-0.29924904711524503</v>
      </c>
      <c r="F17" s="95">
        <f t="shared" ref="F17:I17" si="6">F16/F20</f>
        <v>0.33838584219781181</v>
      </c>
      <c r="G17" s="95">
        <f t="shared" si="6"/>
        <v>0.8844568181221768</v>
      </c>
      <c r="H17" s="95">
        <f t="shared" si="6"/>
        <v>1.3101709672735187</v>
      </c>
      <c r="I17" s="95">
        <f t="shared" si="6"/>
        <v>1.5518895224440838</v>
      </c>
    </row>
    <row r="18" spans="1:9">
      <c r="A18" s="2" t="s">
        <v>22</v>
      </c>
      <c r="B18" s="95">
        <v>0.4</v>
      </c>
      <c r="C18" s="95">
        <v>-4.38</v>
      </c>
      <c r="D18" s="95">
        <v>-0.06</v>
      </c>
      <c r="E18" s="95">
        <f>E16/E21</f>
        <v>-0.29924904711524503</v>
      </c>
      <c r="F18" s="95">
        <f t="shared" ref="F18:I18" si="7">F16/F21</f>
        <v>0.33838584219781181</v>
      </c>
      <c r="G18" s="95">
        <f t="shared" si="7"/>
        <v>0.8844568181221768</v>
      </c>
      <c r="H18" s="95">
        <f t="shared" si="7"/>
        <v>1.3101709672735187</v>
      </c>
      <c r="I18" s="95">
        <f t="shared" si="7"/>
        <v>1.5518895224440838</v>
      </c>
    </row>
    <row r="19" spans="1:9">
      <c r="A19" s="1" t="s">
        <v>15</v>
      </c>
      <c r="B19" s="5"/>
      <c r="C19" s="5"/>
      <c r="D19" s="5"/>
    </row>
    <row r="20" spans="1:9" ht="17" thickBot="1">
      <c r="A20" s="2" t="s">
        <v>16</v>
      </c>
      <c r="B20" s="13">
        <v>4190</v>
      </c>
      <c r="C20" s="13">
        <v>4280</v>
      </c>
      <c r="D20" s="13">
        <v>4530</v>
      </c>
      <c r="E20" s="55">
        <f>Assumptions!E16</f>
        <v>5018.9699999999993</v>
      </c>
      <c r="F20" s="55">
        <f>Assumptions!F16</f>
        <v>5069.1597000000002</v>
      </c>
      <c r="G20" s="55">
        <f>Assumptions!G16</f>
        <v>5119.8512969999992</v>
      </c>
      <c r="H20" s="55">
        <f>Assumptions!H16</f>
        <v>5171.0498099699998</v>
      </c>
      <c r="I20" s="55">
        <f>Assumptions!I16</f>
        <v>5222.760308069699</v>
      </c>
    </row>
    <row r="21" spans="1:9" ht="18" thickTop="1" thickBot="1">
      <c r="A21" s="2" t="s">
        <v>17</v>
      </c>
      <c r="B21" s="13">
        <v>4212</v>
      </c>
      <c r="C21" s="14">
        <v>4280</v>
      </c>
      <c r="D21" s="14">
        <v>4530</v>
      </c>
      <c r="E21" s="56">
        <f>Assumptions!E17</f>
        <v>5018.9699999999993</v>
      </c>
      <c r="F21" s="56">
        <f>Assumptions!F17</f>
        <v>5069.1597000000002</v>
      </c>
      <c r="G21" s="56">
        <f>Assumptions!G17</f>
        <v>5119.8512969999992</v>
      </c>
      <c r="H21" s="56">
        <f>Assumptions!H17</f>
        <v>5171.0498099699998</v>
      </c>
      <c r="I21" s="56">
        <f>Assumptions!I17</f>
        <v>5222.760308069699</v>
      </c>
    </row>
    <row r="22" spans="1:9" ht="17" thickTop="1"/>
    <row r="24" spans="1:9">
      <c r="A24" s="2" t="s">
        <v>24</v>
      </c>
      <c r="E24" t="s">
        <v>302</v>
      </c>
    </row>
    <row r="25" spans="1:9">
      <c r="A25" s="2" t="s">
        <v>8</v>
      </c>
      <c r="B25" s="15">
        <v>21618</v>
      </c>
      <c r="C25" s="15">
        <v>29023</v>
      </c>
      <c r="D25" s="15">
        <v>20589</v>
      </c>
      <c r="E25" s="15">
        <v>23058</v>
      </c>
      <c r="F25" s="15"/>
      <c r="G25" s="15"/>
    </row>
    <row r="26" spans="1:9">
      <c r="A26" s="2" t="s">
        <v>25</v>
      </c>
      <c r="B26" s="15">
        <v>93</v>
      </c>
      <c r="C26" s="15">
        <v>-11678</v>
      </c>
      <c r="D26" s="15">
        <v>-2214</v>
      </c>
      <c r="E26" s="15">
        <v>-1784</v>
      </c>
    </row>
    <row r="27" spans="1:9">
      <c r="A27" s="2" t="s">
        <v>29</v>
      </c>
      <c r="B27" s="15">
        <v>762</v>
      </c>
      <c r="C27" s="15">
        <v>-11210</v>
      </c>
      <c r="D27" s="15">
        <v>1557</v>
      </c>
      <c r="E27" s="15">
        <v>-1530</v>
      </c>
    </row>
    <row r="28" spans="1:9">
      <c r="A28" s="2" t="s">
        <v>26</v>
      </c>
      <c r="B28" s="15">
        <v>1675</v>
      </c>
      <c r="C28" s="15">
        <v>-19233</v>
      </c>
      <c r="D28" s="15">
        <v>26</v>
      </c>
      <c r="E28" s="15">
        <v>-1209</v>
      </c>
    </row>
    <row r="29" spans="1:9">
      <c r="A29" s="2" t="s">
        <v>27</v>
      </c>
      <c r="B29" s="15">
        <v>1689</v>
      </c>
      <c r="C29" s="15">
        <v>-18756</v>
      </c>
      <c r="D29" s="15">
        <v>-267</v>
      </c>
      <c r="E29" s="15">
        <v>-1502</v>
      </c>
    </row>
    <row r="30" spans="1:9">
      <c r="A30" s="2" t="s">
        <v>28</v>
      </c>
    </row>
    <row r="31" spans="1:9">
      <c r="A31" s="2" t="s">
        <v>31</v>
      </c>
      <c r="B31">
        <f t="shared" ref="B31:E32" si="8">B8-B25</f>
        <v>0</v>
      </c>
      <c r="C31">
        <f t="shared" si="8"/>
        <v>0</v>
      </c>
      <c r="D31">
        <f t="shared" si="8"/>
        <v>0</v>
      </c>
      <c r="E31" s="57">
        <f t="shared" si="8"/>
        <v>-0.28650000000197906</v>
      </c>
    </row>
    <row r="32" spans="1:9">
      <c r="A32" s="2" t="s">
        <v>32</v>
      </c>
      <c r="B32">
        <f t="shared" si="8"/>
        <v>0</v>
      </c>
      <c r="C32">
        <f t="shared" si="8"/>
        <v>0</v>
      </c>
      <c r="D32">
        <f t="shared" si="8"/>
        <v>0</v>
      </c>
      <c r="E32" s="57">
        <f t="shared" si="8"/>
        <v>-0.38100000000122236</v>
      </c>
    </row>
    <row r="33" spans="1:5">
      <c r="A33" s="2" t="s">
        <v>35</v>
      </c>
      <c r="B33">
        <f>B12-B27</f>
        <v>0</v>
      </c>
      <c r="C33">
        <f>C12-C27</f>
        <v>0</v>
      </c>
      <c r="D33">
        <f>D12-D27</f>
        <v>0</v>
      </c>
      <c r="E33" s="57">
        <f>E12-E27</f>
        <v>-0.28100000000131331</v>
      </c>
    </row>
    <row r="34" spans="1:5">
      <c r="A34" s="2" t="s">
        <v>33</v>
      </c>
      <c r="B34">
        <f>B14-B28</f>
        <v>0</v>
      </c>
      <c r="C34">
        <f>C14-C28</f>
        <v>0</v>
      </c>
      <c r="D34">
        <f>D14-D28</f>
        <v>0</v>
      </c>
      <c r="E34" s="57">
        <f>E14-E28</f>
        <v>7.8009999998812418E-2</v>
      </c>
    </row>
    <row r="35" spans="1:5">
      <c r="A35" s="2" t="s">
        <v>34</v>
      </c>
      <c r="B35">
        <f>B16-B29</f>
        <v>0</v>
      </c>
      <c r="C35">
        <f>C16-C29</f>
        <v>0</v>
      </c>
      <c r="D35">
        <f>D16-D29</f>
        <v>0</v>
      </c>
      <c r="E35" s="57">
        <f>E16-E29</f>
        <v>7.8009999998812418E-2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DA93-24C8-E648-8C33-996582DD3139}">
  <dimension ref="A1:J54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4" sqref="G44"/>
    </sheetView>
  </sheetViews>
  <sheetFormatPr baseColWidth="10" defaultRowHeight="16"/>
  <cols>
    <col min="1" max="1" width="147.33203125" bestFit="1" customWidth="1"/>
    <col min="2" max="7" width="12.83203125" customWidth="1"/>
    <col min="8" max="9" width="12.6640625" customWidth="1"/>
    <col min="10" max="10" width="75.83203125" customWidth="1"/>
  </cols>
  <sheetData>
    <row r="1" spans="1:10">
      <c r="A1" s="16" t="s">
        <v>36</v>
      </c>
      <c r="B1" s="16" t="s">
        <v>0</v>
      </c>
      <c r="C1" s="16" t="s">
        <v>1</v>
      </c>
      <c r="D1" s="16" t="s">
        <v>2</v>
      </c>
      <c r="E1" s="68" t="s">
        <v>158</v>
      </c>
      <c r="F1" s="2" t="s">
        <v>213</v>
      </c>
      <c r="G1" s="2" t="s">
        <v>214</v>
      </c>
      <c r="H1" s="28" t="s">
        <v>215</v>
      </c>
      <c r="I1" s="2" t="s">
        <v>216</v>
      </c>
      <c r="J1" s="28" t="s">
        <v>81</v>
      </c>
    </row>
    <row r="2" spans="1:10">
      <c r="A2" s="2" t="s">
        <v>37</v>
      </c>
      <c r="F2" s="71"/>
      <c r="G2" s="71"/>
      <c r="H2" s="71"/>
      <c r="J2" t="str">
        <f>"Case: "&amp;Scenarios!$B$2</f>
        <v>Case: Base</v>
      </c>
    </row>
    <row r="3" spans="1:10">
      <c r="A3" t="s">
        <v>38</v>
      </c>
    </row>
    <row r="4" spans="1:10">
      <c r="A4" t="s">
        <v>39</v>
      </c>
      <c r="B4" s="48">
        <v>7079</v>
      </c>
      <c r="C4" s="21">
        <v>8249</v>
      </c>
      <c r="D4" s="10">
        <v>14265</v>
      </c>
      <c r="E4" s="61">
        <f>'Cash Flow Statement'!E48-Assumptions!E11</f>
        <v>14383.619359315067</v>
      </c>
      <c r="F4" s="61">
        <f>'Cash Flow Statement'!F48-Assumptions!F11</f>
        <v>14961.598429141621</v>
      </c>
      <c r="G4" s="61">
        <f>'Cash Flow Statement'!G48-Assumptions!G11</f>
        <v>18878.983258975073</v>
      </c>
      <c r="H4" s="61">
        <f>'Cash Flow Statement'!H48-Assumptions!H11</f>
        <v>25679.887396596954</v>
      </c>
      <c r="I4" s="61">
        <f>'Cash Flow Statement'!I48-Assumptions!I11</f>
        <v>34245.045536338817</v>
      </c>
    </row>
    <row r="5" spans="1:10">
      <c r="A5" t="s">
        <v>40</v>
      </c>
      <c r="B5" s="24">
        <v>17955</v>
      </c>
      <c r="C5" s="21">
        <v>13813</v>
      </c>
      <c r="D5" s="10">
        <v>23151</v>
      </c>
      <c r="E5" s="64">
        <f>D5</f>
        <v>23151</v>
      </c>
      <c r="F5" s="64">
        <f t="shared" ref="F5:I5" si="0">E5</f>
        <v>23151</v>
      </c>
      <c r="G5" s="64">
        <f t="shared" si="0"/>
        <v>23151</v>
      </c>
      <c r="H5" s="64">
        <f t="shared" si="0"/>
        <v>23151</v>
      </c>
      <c r="I5" s="64">
        <f t="shared" si="0"/>
        <v>23151</v>
      </c>
    </row>
    <row r="6" spans="1:10">
      <c r="A6" t="s">
        <v>75</v>
      </c>
      <c r="B6" s="24">
        <v>3402</v>
      </c>
      <c r="C6" s="21">
        <v>3478</v>
      </c>
      <c r="D6" s="10">
        <v>3839</v>
      </c>
      <c r="E6" s="61">
        <f>Assumptions!E21/365*'Income Statement'!E2</f>
        <v>4662.6482191780824</v>
      </c>
      <c r="F6" s="61">
        <f>Assumptions!F21/365*'Income Statement'!F2</f>
        <v>5222.1660054794529</v>
      </c>
      <c r="G6" s="61">
        <f>Assumptions!G21/365*'Income Statement'!G2</f>
        <v>5744.3826060273987</v>
      </c>
      <c r="H6" s="61">
        <f>Assumptions!H21/365*'Income Statement'!H2</f>
        <v>6203.9332145095905</v>
      </c>
      <c r="I6" s="61">
        <f>Assumptions!I21/365*'Income Statement'!I2</f>
        <v>6576.169207380166</v>
      </c>
    </row>
    <row r="7" spans="1:10">
      <c r="A7" t="s">
        <v>41</v>
      </c>
      <c r="B7" s="24">
        <v>11127</v>
      </c>
      <c r="C7" s="21">
        <v>12198</v>
      </c>
      <c r="D7" s="10">
        <v>11618</v>
      </c>
      <c r="E7" s="61">
        <f>Assumptions!E22/365*'Income Statement'!E3</f>
        <v>13097.045801369864</v>
      </c>
      <c r="F7" s="61">
        <f>Assumptions!F22/365*'Income Statement'!F3</f>
        <v>14443.01912372603</v>
      </c>
      <c r="G7" s="61">
        <f>Assumptions!G22/365*'Income Statement'!G3</f>
        <v>15639.081644909593</v>
      </c>
      <c r="H7" s="61">
        <f>Assumptions!H22/365*'Income Statement'!H3</f>
        <v>16622.109634018198</v>
      </c>
      <c r="I7" s="61">
        <f>Assumptions!I22/365*'Income Statement'!I3</f>
        <v>17619.436212059289</v>
      </c>
    </row>
    <row r="8" spans="1:10">
      <c r="A8" t="s">
        <v>42</v>
      </c>
      <c r="B8" s="24">
        <v>3706</v>
      </c>
      <c r="C8" s="21">
        <v>9586</v>
      </c>
      <c r="D8" s="10">
        <v>10815</v>
      </c>
      <c r="E8" s="65">
        <f>D8</f>
        <v>10815</v>
      </c>
      <c r="F8" s="65">
        <f t="shared" ref="F8:I8" si="1">E8</f>
        <v>10815</v>
      </c>
      <c r="G8" s="65">
        <f t="shared" si="1"/>
        <v>10815</v>
      </c>
      <c r="H8" s="65">
        <f t="shared" si="1"/>
        <v>10815</v>
      </c>
      <c r="I8" s="65">
        <f t="shared" si="1"/>
        <v>10815</v>
      </c>
    </row>
    <row r="9" spans="1:10">
      <c r="A9" s="2" t="s">
        <v>43</v>
      </c>
      <c r="B9" s="30">
        <f>SUM(B4:B8)</f>
        <v>43269</v>
      </c>
      <c r="C9" s="19">
        <f>SUM(C4:C8)</f>
        <v>47324</v>
      </c>
      <c r="D9" s="19">
        <f>SUM(D4:D8)</f>
        <v>63688</v>
      </c>
      <c r="E9" s="35">
        <f>SUM(E4:E8)</f>
        <v>66109.313379863015</v>
      </c>
      <c r="F9" s="35">
        <f t="shared" ref="F9:I9" si="2">SUM(F4:F8)</f>
        <v>68592.783558347117</v>
      </c>
      <c r="G9" s="35">
        <f t="shared" si="2"/>
        <v>74228.447509912075</v>
      </c>
      <c r="H9" s="35">
        <f t="shared" si="2"/>
        <v>82471.930245124735</v>
      </c>
      <c r="I9" s="35">
        <f t="shared" si="2"/>
        <v>92406.65095577827</v>
      </c>
    </row>
    <row r="10" spans="1:10">
      <c r="C10" s="18"/>
    </row>
    <row r="11" spans="1:10">
      <c r="A11" s="2" t="s">
        <v>44</v>
      </c>
      <c r="B11" s="15">
        <v>96647</v>
      </c>
      <c r="C11" s="25">
        <v>107919</v>
      </c>
      <c r="D11" s="15">
        <v>105414</v>
      </c>
      <c r="E11" s="18">
        <f>D11-'Cash Flow Statement'!E25-'Cash Flow Statement'!E6</f>
        <v>105974.65</v>
      </c>
      <c r="F11" s="18">
        <f>E11-'Cash Flow Statement'!F25-'Cash Flow Statement'!F6</f>
        <v>107932.3713</v>
      </c>
      <c r="G11" s="18">
        <f>F11-'Cash Flow Statement'!G25-'Cash Flow Statement'!G6</f>
        <v>109538.593929</v>
      </c>
      <c r="H11" s="18">
        <f>G11-'Cash Flow Statement'!H25-'Cash Flow Statement'!H6</f>
        <v>110428.98072993</v>
      </c>
      <c r="I11" s="18">
        <f>H11-'Cash Flow Statement'!I25-'Cash Flow Statement'!I6</f>
        <v>111140.5522819257</v>
      </c>
    </row>
    <row r="12" spans="1:10">
      <c r="A12" s="2" t="s">
        <v>45</v>
      </c>
      <c r="B12" s="15">
        <v>5829</v>
      </c>
      <c r="C12" s="25">
        <v>5383</v>
      </c>
      <c r="D12" s="15">
        <v>8512</v>
      </c>
      <c r="E12" s="64">
        <f>D12</f>
        <v>8512</v>
      </c>
      <c r="F12" s="64">
        <f t="shared" ref="F12:I12" si="3">E12</f>
        <v>8512</v>
      </c>
      <c r="G12" s="64">
        <f t="shared" si="3"/>
        <v>8512</v>
      </c>
      <c r="H12" s="64">
        <f t="shared" si="3"/>
        <v>8512</v>
      </c>
      <c r="I12" s="64">
        <f t="shared" si="3"/>
        <v>8512</v>
      </c>
    </row>
    <row r="13" spans="1:10">
      <c r="A13" s="2" t="s">
        <v>46</v>
      </c>
      <c r="B13" s="15">
        <v>27591</v>
      </c>
      <c r="C13" s="25">
        <v>24693</v>
      </c>
      <c r="D13" s="15">
        <v>23912</v>
      </c>
      <c r="E13" s="64">
        <f>D13</f>
        <v>23912</v>
      </c>
      <c r="F13" s="64">
        <f t="shared" ref="F13:I13" si="4">E13</f>
        <v>23912</v>
      </c>
      <c r="G13" s="64">
        <f t="shared" si="4"/>
        <v>23912</v>
      </c>
      <c r="H13" s="64">
        <f t="shared" si="4"/>
        <v>23912</v>
      </c>
      <c r="I13" s="64">
        <f t="shared" si="4"/>
        <v>23912</v>
      </c>
    </row>
    <row r="14" spans="1:10">
      <c r="A14" s="2" t="s">
        <v>47</v>
      </c>
      <c r="B14" s="15">
        <v>4589</v>
      </c>
      <c r="C14" s="25">
        <v>3691</v>
      </c>
      <c r="D14" s="15">
        <v>2772</v>
      </c>
      <c r="E14" s="18">
        <f>D14-Assumptions!E28</f>
        <v>1972</v>
      </c>
      <c r="F14" s="18">
        <f>E14-Assumptions!F28</f>
        <v>1272</v>
      </c>
      <c r="G14" s="18">
        <f>F14-Assumptions!G28</f>
        <v>772</v>
      </c>
      <c r="H14" s="18">
        <f>G14-Assumptions!H28</f>
        <v>372</v>
      </c>
      <c r="I14" s="18">
        <f>H14-Assumptions!I28</f>
        <v>72</v>
      </c>
    </row>
    <row r="15" spans="1:10">
      <c r="A15" s="2" t="s">
        <v>48</v>
      </c>
      <c r="B15" s="15">
        <v>13647</v>
      </c>
      <c r="C15" s="25">
        <v>7475</v>
      </c>
      <c r="D15" s="15">
        <v>7131</v>
      </c>
      <c r="E15" s="65">
        <f>D15</f>
        <v>7131</v>
      </c>
      <c r="F15" s="65">
        <f t="shared" ref="F15:I15" si="5">E15</f>
        <v>7131</v>
      </c>
      <c r="G15" s="65">
        <f t="shared" si="5"/>
        <v>7131</v>
      </c>
      <c r="H15" s="65">
        <f t="shared" si="5"/>
        <v>7131</v>
      </c>
      <c r="I15" s="65">
        <f t="shared" si="5"/>
        <v>7131</v>
      </c>
    </row>
    <row r="16" spans="1:10">
      <c r="A16" s="2" t="s">
        <v>49</v>
      </c>
      <c r="B16" s="30">
        <f>SUM(B9:B15)</f>
        <v>191572</v>
      </c>
      <c r="C16" s="19">
        <f>SUM(C9:C15)</f>
        <v>196485</v>
      </c>
      <c r="D16" s="19">
        <f>SUM(D9:D15)</f>
        <v>211429</v>
      </c>
      <c r="E16" s="35">
        <f>SUM(E9:E15)</f>
        <v>213610.96337986301</v>
      </c>
      <c r="F16" s="35">
        <f t="shared" ref="F16:I16" si="6">SUM(F9:F15)</f>
        <v>217352.15485834712</v>
      </c>
      <c r="G16" s="35">
        <f t="shared" si="6"/>
        <v>224094.04143891207</v>
      </c>
      <c r="H16" s="35">
        <f t="shared" si="6"/>
        <v>232827.91097505472</v>
      </c>
      <c r="I16" s="35">
        <f t="shared" si="6"/>
        <v>243174.20323770397</v>
      </c>
    </row>
    <row r="17" spans="1:9">
      <c r="C17" s="18"/>
    </row>
    <row r="18" spans="1:9">
      <c r="A18" s="2" t="s">
        <v>50</v>
      </c>
      <c r="C18" s="18"/>
    </row>
    <row r="19" spans="1:9">
      <c r="A19" s="1" t="s">
        <v>51</v>
      </c>
      <c r="C19" s="18"/>
    </row>
    <row r="20" spans="1:9">
      <c r="A20" s="1" t="s">
        <v>52</v>
      </c>
      <c r="B20" s="29">
        <v>8578</v>
      </c>
      <c r="C20" s="21">
        <v>12556</v>
      </c>
      <c r="D20" s="24">
        <v>9882</v>
      </c>
      <c r="E20" s="61">
        <f>Assumptions!E23/365*'Income Statement'!E3</f>
        <v>12122.885369863014</v>
      </c>
      <c r="F20" s="61">
        <f>Assumptions!F23/365*'Income Statement'!F3</f>
        <v>13368.744974027399</v>
      </c>
      <c r="G20" s="61">
        <f>Assumptions!G23/365*'Income Statement'!G3</f>
        <v>14475.844167189043</v>
      </c>
      <c r="H20" s="61">
        <f>Assumptions!H23/365*'Income Statement'!H3</f>
        <v>15385.754371983785</v>
      </c>
      <c r="I20" s="61">
        <f>Assumptions!I23/365*'Income Statement'!I3</f>
        <v>16308.899634302814</v>
      </c>
    </row>
    <row r="21" spans="1:9">
      <c r="A21" s="1" t="s">
        <v>53</v>
      </c>
      <c r="B21" s="29">
        <v>3655</v>
      </c>
      <c r="C21" s="21">
        <v>3343</v>
      </c>
      <c r="D21" s="24">
        <v>3990</v>
      </c>
      <c r="E21" s="64">
        <f>D21</f>
        <v>3990</v>
      </c>
      <c r="F21" s="64">
        <f t="shared" ref="F21:I24" si="7">E21</f>
        <v>3990</v>
      </c>
      <c r="G21" s="64">
        <f t="shared" si="7"/>
        <v>3990</v>
      </c>
      <c r="H21" s="64">
        <f t="shared" si="7"/>
        <v>3990</v>
      </c>
      <c r="I21" s="64">
        <f t="shared" si="7"/>
        <v>3990</v>
      </c>
    </row>
    <row r="22" spans="1:9">
      <c r="A22" s="1" t="s">
        <v>54</v>
      </c>
      <c r="B22" s="29">
        <v>2288</v>
      </c>
      <c r="C22" s="21">
        <v>3729</v>
      </c>
      <c r="D22" s="24">
        <v>2499</v>
      </c>
      <c r="E22" s="61">
        <f>'Debt Schedule'!E12</f>
        <v>3826</v>
      </c>
      <c r="F22" s="61">
        <f>'Debt Schedule'!F12</f>
        <v>3173</v>
      </c>
      <c r="G22" s="61">
        <f>'Debt Schedule'!G12</f>
        <v>3288</v>
      </c>
      <c r="H22" s="61">
        <f>'Debt Schedule'!H12</f>
        <v>2750</v>
      </c>
      <c r="I22" s="61">
        <f>'Debt Schedule'!I12</f>
        <v>1750</v>
      </c>
    </row>
    <row r="23" spans="1:9">
      <c r="A23" s="1" t="s">
        <v>55</v>
      </c>
      <c r="B23" s="29">
        <v>1107</v>
      </c>
      <c r="C23" s="21">
        <v>1756</v>
      </c>
      <c r="D23" s="24">
        <v>604</v>
      </c>
      <c r="E23" s="64">
        <f t="shared" ref="E23:E24" si="8">D23</f>
        <v>604</v>
      </c>
      <c r="F23" s="64">
        <f t="shared" si="7"/>
        <v>604</v>
      </c>
      <c r="G23" s="64">
        <f t="shared" si="7"/>
        <v>604</v>
      </c>
      <c r="H23" s="64">
        <f t="shared" si="7"/>
        <v>604</v>
      </c>
      <c r="I23" s="64">
        <f t="shared" si="7"/>
        <v>604</v>
      </c>
    </row>
    <row r="24" spans="1:9">
      <c r="A24" s="1" t="s">
        <v>76</v>
      </c>
      <c r="B24" s="29">
        <v>12425</v>
      </c>
      <c r="C24" s="21">
        <v>14282</v>
      </c>
      <c r="D24" s="24">
        <v>14600</v>
      </c>
      <c r="E24" s="65">
        <f t="shared" si="8"/>
        <v>14600</v>
      </c>
      <c r="F24" s="65">
        <f t="shared" si="7"/>
        <v>14600</v>
      </c>
      <c r="G24" s="65">
        <f t="shared" si="7"/>
        <v>14600</v>
      </c>
      <c r="H24" s="65">
        <f t="shared" si="7"/>
        <v>14600</v>
      </c>
      <c r="I24" s="65">
        <f t="shared" si="7"/>
        <v>14600</v>
      </c>
    </row>
    <row r="25" spans="1:9">
      <c r="A25" s="2" t="s">
        <v>56</v>
      </c>
      <c r="B25" s="30">
        <f>SUM(B20:B24)</f>
        <v>28053</v>
      </c>
      <c r="C25" s="19">
        <f>SUM(C20:C24)</f>
        <v>35666</v>
      </c>
      <c r="D25" s="19">
        <f>SUM(D20:D24)</f>
        <v>31575</v>
      </c>
      <c r="E25" s="35">
        <f>SUM(E20:E24)</f>
        <v>35142.885369863012</v>
      </c>
      <c r="F25" s="35">
        <f t="shared" ref="F25:I25" si="9">SUM(F20:F24)</f>
        <v>35735.744974027402</v>
      </c>
      <c r="G25" s="35">
        <f t="shared" si="9"/>
        <v>36957.844167189047</v>
      </c>
      <c r="H25" s="35">
        <f t="shared" si="9"/>
        <v>37329.754371983785</v>
      </c>
      <c r="I25" s="35">
        <f t="shared" si="9"/>
        <v>37252.899634302812</v>
      </c>
    </row>
    <row r="26" spans="1:9">
      <c r="C26" s="18"/>
    </row>
    <row r="27" spans="1:9">
      <c r="A27" s="2" t="s">
        <v>57</v>
      </c>
      <c r="B27" s="15">
        <v>46978</v>
      </c>
      <c r="C27" s="25">
        <v>46282</v>
      </c>
      <c r="D27" s="15">
        <v>44086</v>
      </c>
      <c r="E27" s="18">
        <f>'Debt Schedule'!E13</f>
        <v>41509</v>
      </c>
      <c r="F27" s="18">
        <f>'Debt Schedule'!F13</f>
        <v>40249</v>
      </c>
      <c r="G27" s="18">
        <f>'Debt Schedule'!G13</f>
        <v>38547.5</v>
      </c>
      <c r="H27" s="18">
        <f>'Debt Schedule'!H13</f>
        <v>37441.5</v>
      </c>
      <c r="I27" s="18">
        <f>'Debt Schedule'!I13</f>
        <v>37066.5</v>
      </c>
    </row>
    <row r="28" spans="1:9">
      <c r="A28" t="s">
        <v>58</v>
      </c>
      <c r="B28" s="24">
        <v>6576</v>
      </c>
      <c r="C28" s="21">
        <v>9505</v>
      </c>
      <c r="D28" s="24">
        <v>9408</v>
      </c>
      <c r="E28" s="64">
        <f t="shared" ref="E28" si="10">D28</f>
        <v>9408</v>
      </c>
      <c r="F28" s="64">
        <f t="shared" ref="F28" si="11">E28</f>
        <v>9408</v>
      </c>
      <c r="G28" s="64">
        <f t="shared" ref="G28" si="12">F28</f>
        <v>9408</v>
      </c>
      <c r="H28" s="64">
        <f t="shared" ref="H28" si="13">G28</f>
        <v>9408</v>
      </c>
      <c r="I28" s="64">
        <f t="shared" ref="I28" si="14">H28</f>
        <v>9408</v>
      </c>
    </row>
    <row r="29" spans="1:9">
      <c r="A29" s="2" t="s">
        <v>59</v>
      </c>
      <c r="C29" s="18"/>
    </row>
    <row r="30" spans="1:9">
      <c r="A30" t="s">
        <v>77</v>
      </c>
      <c r="C30" s="18"/>
    </row>
    <row r="31" spans="1:9">
      <c r="A31" s="1" t="s">
        <v>78</v>
      </c>
      <c r="B31" s="27">
        <v>0</v>
      </c>
      <c r="C31" s="27">
        <v>0</v>
      </c>
      <c r="D31" s="27">
        <v>0</v>
      </c>
      <c r="E31" s="66">
        <f t="shared" ref="E31" si="15">D31</f>
        <v>0</v>
      </c>
      <c r="F31" s="66">
        <f t="shared" ref="F31" si="16">E31</f>
        <v>0</v>
      </c>
      <c r="G31" s="66">
        <f t="shared" ref="G31" si="17">F31</f>
        <v>0</v>
      </c>
      <c r="H31" s="66">
        <f t="shared" ref="H31" si="18">G31</f>
        <v>0</v>
      </c>
      <c r="I31" s="66">
        <f t="shared" ref="I31" si="19">H31</f>
        <v>0</v>
      </c>
    </row>
    <row r="32" spans="1:9">
      <c r="A32" s="1" t="s">
        <v>79</v>
      </c>
      <c r="B32" s="29">
        <v>36649</v>
      </c>
      <c r="C32" s="21">
        <v>50949</v>
      </c>
      <c r="D32" s="23">
        <v>65185</v>
      </c>
      <c r="E32" s="3">
        <f>D32+Assumptions!E29</f>
        <v>67585</v>
      </c>
      <c r="F32" s="3">
        <f>E32+Assumptions!F29</f>
        <v>69985</v>
      </c>
      <c r="G32" s="3">
        <f>F32+Assumptions!G29</f>
        <v>72385</v>
      </c>
      <c r="H32" s="3">
        <f>G32+Assumptions!H29</f>
        <v>74785</v>
      </c>
      <c r="I32" s="3">
        <f>H32+Assumptions!I29</f>
        <v>77185</v>
      </c>
    </row>
    <row r="33" spans="1:9">
      <c r="A33" s="1" t="s">
        <v>60</v>
      </c>
      <c r="B33" s="29">
        <v>-215</v>
      </c>
      <c r="C33" s="21">
        <v>-711</v>
      </c>
      <c r="D33" s="27">
        <v>113</v>
      </c>
      <c r="E33" s="64">
        <f t="shared" ref="E33" si="20">D33</f>
        <v>113</v>
      </c>
      <c r="F33" s="64">
        <f t="shared" ref="F33" si="21">E33</f>
        <v>113</v>
      </c>
      <c r="G33" s="64">
        <f t="shared" ref="G33" si="22">F33</f>
        <v>113</v>
      </c>
      <c r="H33" s="64">
        <f t="shared" ref="H33" si="23">G33</f>
        <v>113</v>
      </c>
      <c r="I33" s="64">
        <f t="shared" ref="I33" si="24">H33</f>
        <v>113</v>
      </c>
    </row>
    <row r="34" spans="1:9">
      <c r="A34" s="1" t="s">
        <v>61</v>
      </c>
      <c r="B34" s="29">
        <v>69156</v>
      </c>
      <c r="C34" s="21">
        <v>49032</v>
      </c>
      <c r="D34" s="23">
        <v>48983</v>
      </c>
      <c r="E34" s="74">
        <f>D34+'Income Statement'!E16</f>
        <v>47481.078009999997</v>
      </c>
      <c r="F34" s="74">
        <f>E34+'Income Statement'!F16</f>
        <v>49196.409884319706</v>
      </c>
      <c r="G34" s="74">
        <f>F34+'Income Statement'!G16</f>
        <v>53724.697271723024</v>
      </c>
      <c r="H34" s="74">
        <f>G34+'Income Statement'!H16</f>
        <v>60499.656603070966</v>
      </c>
      <c r="I34" s="74">
        <f>H34+'Income Statement'!I16</f>
        <v>68604.803603401175</v>
      </c>
    </row>
    <row r="35" spans="1:9">
      <c r="A35" s="2" t="s">
        <v>62</v>
      </c>
      <c r="B35" s="31">
        <f>SUM(B31:B34)</f>
        <v>105590</v>
      </c>
      <c r="C35" s="19">
        <f>SUM(C31:C34)</f>
        <v>99270</v>
      </c>
      <c r="D35" s="17">
        <f>SUM(D31:D34)</f>
        <v>114281</v>
      </c>
      <c r="E35" s="76">
        <f>SUM(E31:E34)</f>
        <v>115179.07801</v>
      </c>
      <c r="F35" s="76">
        <f t="shared" ref="F35:I35" si="25">SUM(F31:F34)</f>
        <v>119294.4098843197</v>
      </c>
      <c r="G35" s="76">
        <f t="shared" si="25"/>
        <v>126222.69727172302</v>
      </c>
      <c r="H35" s="76">
        <f t="shared" si="25"/>
        <v>135397.65660307097</v>
      </c>
      <c r="I35" s="76">
        <f t="shared" si="25"/>
        <v>145902.80360340117</v>
      </c>
    </row>
    <row r="36" spans="1:9">
      <c r="A36" s="2" t="s">
        <v>63</v>
      </c>
      <c r="B36" s="15">
        <v>4375</v>
      </c>
      <c r="C36" s="22">
        <v>5762</v>
      </c>
      <c r="D36" s="26">
        <v>12079</v>
      </c>
      <c r="E36" s="77">
        <f>D36+'Income Statement'!E15</f>
        <v>12372</v>
      </c>
      <c r="F36" s="77">
        <f>E36+'Income Statement'!F15</f>
        <v>12665</v>
      </c>
      <c r="G36" s="77">
        <f>F36+'Income Statement'!G15</f>
        <v>12958</v>
      </c>
      <c r="H36" s="77">
        <f>G36+'Income Statement'!H15</f>
        <v>13251</v>
      </c>
      <c r="I36" s="77">
        <f>H36+'Income Statement'!I15</f>
        <v>13544</v>
      </c>
    </row>
    <row r="37" spans="1:9">
      <c r="A37" s="2" t="s">
        <v>64</v>
      </c>
      <c r="B37" s="32">
        <f>SUM(B35:B36)</f>
        <v>109965</v>
      </c>
      <c r="C37" s="20">
        <f>SUM(C35:C36)</f>
        <v>105032</v>
      </c>
      <c r="D37" s="20">
        <f>SUM(D35:D36)</f>
        <v>126360</v>
      </c>
      <c r="E37" s="78">
        <f>SUM(E35:E36)</f>
        <v>127551.07801</v>
      </c>
      <c r="F37" s="78">
        <f t="shared" ref="F37:I37" si="26">SUM(F35:F36)</f>
        <v>131959.4098843197</v>
      </c>
      <c r="G37" s="78">
        <f t="shared" si="26"/>
        <v>139180.69727172301</v>
      </c>
      <c r="H37" s="78">
        <f t="shared" si="26"/>
        <v>148648.65660307097</v>
      </c>
      <c r="I37" s="78">
        <f t="shared" si="26"/>
        <v>159446.80360340117</v>
      </c>
    </row>
    <row r="38" spans="1:9" ht="17" thickBot="1">
      <c r="A38" s="2" t="s">
        <v>82</v>
      </c>
      <c r="B38" s="33">
        <f>(B25+B27+B28+B37)</f>
        <v>191572</v>
      </c>
      <c r="C38" s="33">
        <f>(C25+C27+C28+C37)</f>
        <v>196485</v>
      </c>
      <c r="D38" s="33">
        <f>(D25+D27+D28+D37)</f>
        <v>211429</v>
      </c>
      <c r="E38" s="33">
        <f>(E25+E27+E28+E37)</f>
        <v>213610.96337986301</v>
      </c>
      <c r="F38" s="33">
        <f t="shared" ref="F38:I38" si="27">(F25+F27+F28+F37)</f>
        <v>217352.15485834709</v>
      </c>
      <c r="G38" s="33">
        <f t="shared" si="27"/>
        <v>224094.04143891204</v>
      </c>
      <c r="H38" s="33">
        <f t="shared" si="27"/>
        <v>232827.91097505475</v>
      </c>
      <c r="I38" s="33">
        <f t="shared" si="27"/>
        <v>243174.203237704</v>
      </c>
    </row>
    <row r="39" spans="1:9" ht="17" thickTop="1">
      <c r="A39" s="2" t="s">
        <v>80</v>
      </c>
      <c r="B39" s="2">
        <f>B16-B38</f>
        <v>0</v>
      </c>
      <c r="C39" s="2">
        <f>C16-C38</f>
        <v>0</v>
      </c>
      <c r="D39" s="2">
        <f>D16-D38</f>
        <v>0</v>
      </c>
      <c r="E39" s="94">
        <f>E16-E38</f>
        <v>0</v>
      </c>
      <c r="F39" s="94">
        <f t="shared" ref="F39:I39" si="28">F16-F38</f>
        <v>0</v>
      </c>
      <c r="G39" s="94">
        <f t="shared" si="28"/>
        <v>0</v>
      </c>
      <c r="H39" s="94">
        <f t="shared" si="28"/>
        <v>0</v>
      </c>
      <c r="I39" s="94">
        <f t="shared" si="28"/>
        <v>0</v>
      </c>
    </row>
    <row r="41" spans="1:9">
      <c r="A41" s="2" t="s">
        <v>66</v>
      </c>
      <c r="B41" s="34"/>
      <c r="C41" s="35"/>
      <c r="D41" s="35"/>
      <c r="E41" t="s">
        <v>303</v>
      </c>
    </row>
    <row r="42" spans="1:9">
      <c r="A42" s="2" t="s">
        <v>67</v>
      </c>
      <c r="B42" s="36">
        <v>43269</v>
      </c>
      <c r="C42" s="15">
        <v>47324</v>
      </c>
      <c r="D42" s="15">
        <v>63688</v>
      </c>
      <c r="E42" s="15">
        <v>67356</v>
      </c>
    </row>
    <row r="43" spans="1:9">
      <c r="A43" s="2" t="s">
        <v>68</v>
      </c>
      <c r="B43" s="15">
        <v>191572</v>
      </c>
      <c r="C43" s="15">
        <v>196485</v>
      </c>
      <c r="D43" s="15">
        <v>211429</v>
      </c>
      <c r="E43" s="15">
        <v>214858</v>
      </c>
    </row>
    <row r="44" spans="1:9">
      <c r="A44" s="2" t="s">
        <v>69</v>
      </c>
      <c r="B44" s="15">
        <v>28053</v>
      </c>
      <c r="C44" s="15">
        <v>35666</v>
      </c>
      <c r="D44" s="15">
        <v>31575</v>
      </c>
      <c r="E44" s="15">
        <v>33816</v>
      </c>
    </row>
    <row r="45" spans="1:9">
      <c r="A45" s="2" t="s">
        <v>62</v>
      </c>
      <c r="B45" s="15">
        <v>105590</v>
      </c>
      <c r="C45" s="15">
        <v>99270</v>
      </c>
      <c r="D45" s="15">
        <v>114281</v>
      </c>
      <c r="E45" s="15">
        <v>115176</v>
      </c>
    </row>
    <row r="46" spans="1:9">
      <c r="A46" s="2" t="s">
        <v>64</v>
      </c>
      <c r="B46" s="15">
        <v>109965</v>
      </c>
      <c r="C46" s="15">
        <v>105032</v>
      </c>
      <c r="D46" s="15">
        <v>126360</v>
      </c>
      <c r="E46" s="15">
        <v>127548</v>
      </c>
    </row>
    <row r="47" spans="1:9">
      <c r="A47" s="2" t="s">
        <v>65</v>
      </c>
      <c r="B47" s="15">
        <v>191572</v>
      </c>
      <c r="C47" s="15">
        <v>196485</v>
      </c>
      <c r="D47" s="15">
        <v>211429</v>
      </c>
      <c r="E47" s="15">
        <v>214858</v>
      </c>
    </row>
    <row r="48" spans="1:9">
      <c r="A48" s="2" t="s">
        <v>28</v>
      </c>
    </row>
    <row r="49" spans="1:5">
      <c r="A49" s="2" t="s">
        <v>70</v>
      </c>
      <c r="B49">
        <f>B9-B42</f>
        <v>0</v>
      </c>
      <c r="C49">
        <f>C9-C42</f>
        <v>0</v>
      </c>
      <c r="D49">
        <f>D9-D42</f>
        <v>0</v>
      </c>
      <c r="E49" s="57">
        <f>E9-E42</f>
        <v>-1246.6866201369849</v>
      </c>
    </row>
    <row r="50" spans="1:5">
      <c r="A50" s="2" t="s">
        <v>71</v>
      </c>
      <c r="B50">
        <f>B16-B43</f>
        <v>0</v>
      </c>
      <c r="C50">
        <f>C16-C43</f>
        <v>0</v>
      </c>
      <c r="D50">
        <f>D16-D43</f>
        <v>0</v>
      </c>
      <c r="E50" s="57">
        <f>E16-E43</f>
        <v>-1247.0366201369907</v>
      </c>
    </row>
    <row r="51" spans="1:5">
      <c r="A51" s="2" t="s">
        <v>72</v>
      </c>
      <c r="B51">
        <f>B25-B44</f>
        <v>0</v>
      </c>
      <c r="C51">
        <f>C25-C44</f>
        <v>0</v>
      </c>
      <c r="D51">
        <f>D25-D44</f>
        <v>0</v>
      </c>
      <c r="E51" s="57">
        <f>E25-E44</f>
        <v>1326.8853698630119</v>
      </c>
    </row>
    <row r="52" spans="1:5">
      <c r="A52" s="2" t="s">
        <v>73</v>
      </c>
      <c r="B52">
        <f>B35-B45</f>
        <v>0</v>
      </c>
      <c r="C52">
        <f>C35-C45</f>
        <v>0</v>
      </c>
      <c r="D52">
        <f>D35-D45</f>
        <v>0</v>
      </c>
      <c r="E52" s="57">
        <f>E35-E45</f>
        <v>3.0780099999974482</v>
      </c>
    </row>
    <row r="53" spans="1:5">
      <c r="A53" s="2" t="s">
        <v>74</v>
      </c>
      <c r="B53">
        <f t="shared" ref="B53:E54" si="29">B37-B46</f>
        <v>0</v>
      </c>
      <c r="C53">
        <f t="shared" si="29"/>
        <v>0</v>
      </c>
      <c r="D53">
        <f t="shared" si="29"/>
        <v>0</v>
      </c>
      <c r="E53" s="57">
        <f t="shared" si="29"/>
        <v>3.0780099999974482</v>
      </c>
    </row>
    <row r="54" spans="1:5">
      <c r="A54" s="2" t="s">
        <v>65</v>
      </c>
      <c r="B54">
        <f t="shared" si="29"/>
        <v>0</v>
      </c>
      <c r="C54">
        <f t="shared" si="29"/>
        <v>0</v>
      </c>
      <c r="D54">
        <f t="shared" si="29"/>
        <v>0</v>
      </c>
      <c r="E54" s="57">
        <f t="shared" si="29"/>
        <v>-1247.0366201369907</v>
      </c>
    </row>
  </sheetData>
  <pageMargins left="0.7" right="0.7" top="0.75" bottom="0.75" header="0.3" footer="0.3"/>
  <ignoredErrors>
    <ignoredError sqref="E14 E32:I32 H14:I14 E22:I2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7969-35A6-DC40-832F-BBE31737350D}">
  <dimension ref="A1:J68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5" bestFit="1" customWidth="1"/>
    <col min="2" max="7" width="12.83203125" customWidth="1"/>
    <col min="8" max="9" width="12.6640625" customWidth="1"/>
    <col min="10" max="10" width="14.1640625" customWidth="1"/>
  </cols>
  <sheetData>
    <row r="1" spans="1:10">
      <c r="A1" s="70" t="s">
        <v>83</v>
      </c>
      <c r="B1" s="70" t="s">
        <v>0</v>
      </c>
      <c r="C1" s="2" t="s">
        <v>1</v>
      </c>
      <c r="D1" s="2" t="s">
        <v>2</v>
      </c>
      <c r="E1" s="70" t="s">
        <v>172</v>
      </c>
      <c r="F1" s="2" t="s">
        <v>213</v>
      </c>
      <c r="G1" s="2" t="s">
        <v>214</v>
      </c>
      <c r="H1" s="2" t="s">
        <v>215</v>
      </c>
      <c r="I1" s="2" t="s">
        <v>216</v>
      </c>
    </row>
    <row r="2" spans="1:10">
      <c r="A2" s="2" t="s">
        <v>84</v>
      </c>
      <c r="B2" s="40">
        <v>11144</v>
      </c>
      <c r="C2" s="43">
        <v>7079</v>
      </c>
      <c r="D2" s="45">
        <v>8249</v>
      </c>
      <c r="E2" s="67">
        <f>D48</f>
        <v>14712</v>
      </c>
      <c r="F2" s="67">
        <f t="shared" ref="F2:I2" si="0">E48</f>
        <v>14830.619359315067</v>
      </c>
      <c r="G2" s="67">
        <f t="shared" si="0"/>
        <v>15408.598429141621</v>
      </c>
      <c r="H2" s="67">
        <f t="shared" si="0"/>
        <v>19325.983258975073</v>
      </c>
      <c r="I2" s="67">
        <f t="shared" si="0"/>
        <v>26126.887396596954</v>
      </c>
      <c r="J2" t="str">
        <f>"Case: "&amp;Scenarios!$B$2</f>
        <v>Case: Base</v>
      </c>
    </row>
    <row r="3" spans="1:10">
      <c r="A3" t="s">
        <v>85</v>
      </c>
      <c r="B3" s="24"/>
    </row>
    <row r="4" spans="1:10">
      <c r="A4" t="s">
        <v>86</v>
      </c>
      <c r="B4" s="24">
        <v>1675</v>
      </c>
      <c r="C4" s="24">
        <v>-19233</v>
      </c>
      <c r="D4" s="29">
        <v>26</v>
      </c>
      <c r="E4" s="61">
        <f>'Income Statement'!E14</f>
        <v>-1208.9219900000012</v>
      </c>
      <c r="F4" s="61">
        <f>'Income Statement'!F14</f>
        <v>2008.3318743197071</v>
      </c>
      <c r="G4" s="61">
        <f>'Income Statement'!G14</f>
        <v>4821.2873874033194</v>
      </c>
      <c r="H4" s="61">
        <f>'Income Statement'!H14</f>
        <v>7067.959331347939</v>
      </c>
      <c r="I4" s="61">
        <f>'Income Statement'!I14</f>
        <v>8398.147000330202</v>
      </c>
    </row>
    <row r="5" spans="1:10">
      <c r="A5" t="s">
        <v>87</v>
      </c>
      <c r="B5" s="24"/>
    </row>
    <row r="6" spans="1:10">
      <c r="A6" t="s">
        <v>88</v>
      </c>
      <c r="B6" s="24">
        <v>7847</v>
      </c>
      <c r="C6" s="24">
        <v>9951</v>
      </c>
      <c r="D6" s="46">
        <v>10757</v>
      </c>
      <c r="E6" s="61">
        <f>'Balance Sheet'!D11*Assumptions!E27</f>
        <v>11595.54</v>
      </c>
      <c r="F6" s="61">
        <f>'Balance Sheet'!E11*Assumptions!F27</f>
        <v>11657.211499999999</v>
      </c>
      <c r="G6" s="61">
        <f>'Balance Sheet'!F11*Assumptions!G27</f>
        <v>11872.560842999999</v>
      </c>
      <c r="H6" s="61">
        <f>'Balance Sheet'!G11*Assumptions!H27</f>
        <v>12049.245332189999</v>
      </c>
      <c r="I6" s="61">
        <f>'Balance Sheet'!H11*Assumptions!I27</f>
        <v>12147.1878802923</v>
      </c>
    </row>
    <row r="7" spans="1:10">
      <c r="A7" s="37" t="s">
        <v>89</v>
      </c>
      <c r="B7" s="24">
        <v>3229</v>
      </c>
      <c r="C7" s="24">
        <v>3410</v>
      </c>
      <c r="D7" s="24">
        <v>2434</v>
      </c>
      <c r="E7" s="3">
        <f>Assumptions!E29</f>
        <v>2400</v>
      </c>
      <c r="F7" s="3">
        <f>Assumptions!F29</f>
        <v>2400</v>
      </c>
      <c r="G7" s="3">
        <f>Assumptions!G29</f>
        <v>2400</v>
      </c>
      <c r="H7" s="3">
        <f>Assumptions!H29</f>
        <v>2400</v>
      </c>
      <c r="I7" s="3">
        <f>Assumptions!I29</f>
        <v>2400</v>
      </c>
    </row>
    <row r="8" spans="1:10">
      <c r="A8" t="s">
        <v>130</v>
      </c>
      <c r="B8" s="24">
        <v>-424</v>
      </c>
      <c r="C8" s="24">
        <v>3491</v>
      </c>
      <c r="D8" s="24">
        <v>476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</row>
    <row r="9" spans="1:10">
      <c r="A9" t="s">
        <v>90</v>
      </c>
      <c r="B9" s="24">
        <v>1755</v>
      </c>
      <c r="C9" s="24">
        <v>1428</v>
      </c>
      <c r="D9" s="24">
        <v>949</v>
      </c>
      <c r="E9">
        <f>Assumptions!E28</f>
        <v>800</v>
      </c>
      <c r="F9">
        <f>Assumptions!F28</f>
        <v>700</v>
      </c>
      <c r="G9">
        <f>Assumptions!G28</f>
        <v>500</v>
      </c>
      <c r="H9">
        <f>Assumptions!H28</f>
        <v>400</v>
      </c>
      <c r="I9">
        <f>Assumptions!I28</f>
        <v>300</v>
      </c>
    </row>
    <row r="10" spans="1:10">
      <c r="A10" t="s">
        <v>128</v>
      </c>
      <c r="B10" s="24">
        <v>-42</v>
      </c>
      <c r="C10" s="24">
        <v>-246</v>
      </c>
      <c r="D10" s="24">
        <v>-514</v>
      </c>
      <c r="E10" s="69">
        <f>-'Income Statement'!E10</f>
        <v>0</v>
      </c>
      <c r="F10" s="69">
        <f>-'Income Statement'!F10</f>
        <v>0</v>
      </c>
      <c r="G10" s="69">
        <f>-'Income Statement'!G10</f>
        <v>0</v>
      </c>
      <c r="H10" s="69">
        <f>-'Income Statement'!H10</f>
        <v>0</v>
      </c>
      <c r="I10" s="69">
        <f>-'Income Statement'!I10</f>
        <v>0</v>
      </c>
    </row>
    <row r="11" spans="1:10">
      <c r="A11" t="s">
        <v>129</v>
      </c>
      <c r="B11" s="41">
        <v>0</v>
      </c>
      <c r="C11" s="24">
        <v>0</v>
      </c>
      <c r="D11" s="24">
        <v>1796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0">
      <c r="A12" t="s">
        <v>91</v>
      </c>
      <c r="B12" s="41">
        <v>0</v>
      </c>
      <c r="C12" s="24">
        <v>0</v>
      </c>
      <c r="D12" s="24">
        <v>-5323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0">
      <c r="A13" t="s">
        <v>92</v>
      </c>
      <c r="B13" s="24">
        <v>-2033</v>
      </c>
      <c r="C13" s="24">
        <v>6132</v>
      </c>
      <c r="D13" s="24">
        <v>328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</row>
    <row r="14" spans="1:10">
      <c r="A14" t="s">
        <v>132</v>
      </c>
      <c r="B14" s="24">
        <v>33</v>
      </c>
      <c r="C14" s="24">
        <v>2252</v>
      </c>
      <c r="D14" s="24">
        <v>515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</row>
    <row r="15" spans="1:10">
      <c r="A15" t="s">
        <v>93</v>
      </c>
      <c r="B15" s="24"/>
    </row>
    <row r="16" spans="1:10">
      <c r="A16" t="s">
        <v>131</v>
      </c>
      <c r="B16" s="24">
        <v>731</v>
      </c>
      <c r="C16" s="24">
        <v>-75</v>
      </c>
      <c r="D16" s="24">
        <v>-449</v>
      </c>
      <c r="E16" s="61">
        <f>-('Balance Sheet'!E6-'Balance Sheet'!D6)</f>
        <v>-823.6482191780824</v>
      </c>
      <c r="F16" s="61">
        <f>-('Balance Sheet'!F6-'Balance Sheet'!E6)</f>
        <v>-559.51778630137051</v>
      </c>
      <c r="G16" s="61">
        <f>-('Balance Sheet'!G6-'Balance Sheet'!F6)</f>
        <v>-522.21660054794575</v>
      </c>
      <c r="H16" s="61">
        <f>-('Balance Sheet'!H6-'Balance Sheet'!G6)</f>
        <v>-459.55060848219182</v>
      </c>
      <c r="I16" s="61">
        <f>-('Balance Sheet'!I6-'Balance Sheet'!H6)</f>
        <v>-372.2359928705755</v>
      </c>
    </row>
    <row r="17" spans="1:9">
      <c r="A17" t="s">
        <v>94</v>
      </c>
      <c r="B17" s="24">
        <v>2097</v>
      </c>
      <c r="C17" s="24">
        <v>-1105</v>
      </c>
      <c r="D17" s="24">
        <v>-138</v>
      </c>
      <c r="E17" s="61">
        <f>-('Balance Sheet'!E7-'Balance Sheet'!D7)</f>
        <v>-1479.0458013698644</v>
      </c>
      <c r="F17" s="61">
        <f>-('Balance Sheet'!F7-'Balance Sheet'!E7)</f>
        <v>-1345.9733223561652</v>
      </c>
      <c r="G17" s="61">
        <f>-('Balance Sheet'!G7-'Balance Sheet'!F7)</f>
        <v>-1196.0625211835631</v>
      </c>
      <c r="H17" s="61">
        <f>-('Balance Sheet'!H7-'Balance Sheet'!G7)</f>
        <v>-983.02798910860474</v>
      </c>
      <c r="I17" s="61">
        <f>-('Balance Sheet'!I7-'Balance Sheet'!H7)</f>
        <v>-997.32657804109112</v>
      </c>
    </row>
    <row r="18" spans="1:9">
      <c r="A18" t="s">
        <v>95</v>
      </c>
      <c r="B18" s="24">
        <v>-801</v>
      </c>
      <c r="C18" s="24">
        <v>634</v>
      </c>
      <c r="D18" s="24">
        <v>297</v>
      </c>
      <c r="E18" s="61">
        <f>'Balance Sheet'!E20-'Balance Sheet'!D20</f>
        <v>2240.8853698630137</v>
      </c>
      <c r="F18" s="61">
        <f>'Balance Sheet'!F20-'Balance Sheet'!E20</f>
        <v>1245.859604164385</v>
      </c>
      <c r="G18" s="61">
        <f>'Balance Sheet'!G20-'Balance Sheet'!F20</f>
        <v>1107.0991931616445</v>
      </c>
      <c r="H18" s="61">
        <f>'Balance Sheet'!H20-'Balance Sheet'!G20</f>
        <v>909.91020479474173</v>
      </c>
      <c r="I18" s="61">
        <f>'Balance Sheet'!I20-'Balance Sheet'!H20</f>
        <v>923.14526231902892</v>
      </c>
    </row>
    <row r="19" spans="1:9">
      <c r="A19" t="s">
        <v>96</v>
      </c>
      <c r="B19" s="24">
        <v>-614</v>
      </c>
      <c r="C19" s="24">
        <v>-218</v>
      </c>
      <c r="D19" s="24">
        <v>788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</row>
    <row r="20" spans="1:9">
      <c r="A20" t="s">
        <v>97</v>
      </c>
      <c r="B20" s="24">
        <v>-1498</v>
      </c>
      <c r="C20" s="24">
        <v>-356</v>
      </c>
      <c r="D20" s="24">
        <v>-995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</row>
    <row r="21" spans="1:9">
      <c r="A21" t="s">
        <v>98</v>
      </c>
      <c r="B21" s="38">
        <v>-484</v>
      </c>
      <c r="C21" s="24">
        <v>2223</v>
      </c>
      <c r="D21" s="24">
        <v>-1250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</row>
    <row r="22" spans="1:9">
      <c r="A22" s="2" t="s">
        <v>99</v>
      </c>
      <c r="B22" s="42">
        <f>SUM(B6:B14)+SUM(B16:B21)</f>
        <v>9796</v>
      </c>
      <c r="C22" s="42">
        <f>SUM(C6:C14)+SUM(C16:C21)</f>
        <v>27521</v>
      </c>
      <c r="D22" s="42">
        <f>SUM(D6:D14)+SUM(D16:D21)</f>
        <v>9671</v>
      </c>
      <c r="E22" s="42">
        <f>SUM(E6:E14)+SUM(E16:E21)</f>
        <v>14733.731349315069</v>
      </c>
      <c r="F22" s="42">
        <f t="shared" ref="F22:I22" si="1">SUM(F6:F14)+SUM(F16:F21)</f>
        <v>14097.579995506849</v>
      </c>
      <c r="G22" s="42">
        <f t="shared" si="1"/>
        <v>14161.380914430134</v>
      </c>
      <c r="H22" s="42">
        <f t="shared" si="1"/>
        <v>14316.576939393944</v>
      </c>
      <c r="I22" s="42">
        <f t="shared" si="1"/>
        <v>14400.770571699662</v>
      </c>
    </row>
    <row r="23" spans="1:9">
      <c r="A23" s="2" t="s">
        <v>100</v>
      </c>
      <c r="B23" s="42">
        <f>B4+B22</f>
        <v>11471</v>
      </c>
      <c r="C23" s="42">
        <f>C4+C22</f>
        <v>8288</v>
      </c>
      <c r="D23" s="42">
        <f>D4+D22</f>
        <v>9697</v>
      </c>
      <c r="E23" s="42">
        <f>E4+E22</f>
        <v>13524.809359315068</v>
      </c>
      <c r="F23" s="42">
        <f t="shared" ref="F23:I23" si="2">F4+F22</f>
        <v>16105.911869826556</v>
      </c>
      <c r="G23" s="42">
        <f t="shared" si="2"/>
        <v>18982.668301833452</v>
      </c>
      <c r="H23" s="42">
        <f t="shared" si="2"/>
        <v>21384.536270741883</v>
      </c>
      <c r="I23" s="42">
        <f t="shared" si="2"/>
        <v>22798.917572029866</v>
      </c>
    </row>
    <row r="24" spans="1:9">
      <c r="A24" t="s">
        <v>101</v>
      </c>
      <c r="B24" s="39"/>
    </row>
    <row r="25" spans="1:9">
      <c r="A25" t="s">
        <v>102</v>
      </c>
      <c r="B25" s="24">
        <v>-25750</v>
      </c>
      <c r="C25" s="29">
        <v>-23944</v>
      </c>
      <c r="D25" s="24">
        <v>-14646</v>
      </c>
      <c r="E25" s="61">
        <f>-'Income Statement'!E2*Assumptions!E26</f>
        <v>-12156.19</v>
      </c>
      <c r="F25" s="61">
        <f>-'Income Statement'!F2*Assumptions!F26</f>
        <v>-13614.932800000002</v>
      </c>
      <c r="G25" s="61">
        <f>-'Income Statement'!G2*Assumptions!G26</f>
        <v>-13478.783472000001</v>
      </c>
      <c r="H25" s="61">
        <f>-'Income Statement'!H2*Assumptions!H26</f>
        <v>-12939.632133120003</v>
      </c>
      <c r="I25" s="61">
        <f>-'Income Statement'!I2*Assumptions!I26</f>
        <v>-12858.759432288003</v>
      </c>
    </row>
    <row r="26" spans="1:9">
      <c r="A26" t="s">
        <v>103</v>
      </c>
      <c r="B26" s="24">
        <v>1011</v>
      </c>
      <c r="C26" s="29">
        <v>1936</v>
      </c>
      <c r="D26" s="24">
        <v>1577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</row>
    <row r="27" spans="1:9">
      <c r="A27" t="s">
        <v>104</v>
      </c>
      <c r="B27" s="24">
        <v>-44414</v>
      </c>
      <c r="C27" s="29">
        <v>-37940</v>
      </c>
      <c r="D27" s="24">
        <v>-24319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</row>
    <row r="28" spans="1:9">
      <c r="A28" t="s">
        <v>105</v>
      </c>
      <c r="B28" s="24">
        <v>44077</v>
      </c>
      <c r="C28" s="29">
        <v>41463</v>
      </c>
      <c r="D28" s="24">
        <v>15387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</row>
    <row r="29" spans="1:9">
      <c r="A29" t="s">
        <v>106</v>
      </c>
      <c r="B29" s="24">
        <v>472</v>
      </c>
      <c r="C29" s="29">
        <v>1047</v>
      </c>
      <c r="D29" s="24">
        <v>671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</row>
    <row r="30" spans="1:9">
      <c r="A30" t="s">
        <v>133</v>
      </c>
      <c r="B30" s="44">
        <v>0</v>
      </c>
      <c r="C30" s="29">
        <v>0</v>
      </c>
      <c r="D30" s="24">
        <v>6157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</row>
    <row r="31" spans="1:9">
      <c r="A31" t="s">
        <v>107</v>
      </c>
      <c r="B31" s="24">
        <v>563</v>
      </c>
      <c r="C31" s="29">
        <v>-818</v>
      </c>
      <c r="D31" s="24">
        <v>352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</row>
    <row r="32" spans="1:9">
      <c r="A32" s="2" t="s">
        <v>108</v>
      </c>
      <c r="B32" s="42">
        <f>SUM(B25:B31)</f>
        <v>-24041</v>
      </c>
      <c r="C32" s="42">
        <f>SUM(C25:C31)</f>
        <v>-18256</v>
      </c>
      <c r="D32" s="42">
        <f>SUM(D25:D31)</f>
        <v>-14821</v>
      </c>
      <c r="E32" s="42">
        <f>SUM(E25:E31)</f>
        <v>-12156.19</v>
      </c>
      <c r="F32" s="42">
        <f t="shared" ref="F32:I32" si="3">SUM(F25:F31)</f>
        <v>-13614.932800000002</v>
      </c>
      <c r="G32" s="42">
        <f t="shared" si="3"/>
        <v>-13478.783472000001</v>
      </c>
      <c r="H32" s="42">
        <f t="shared" si="3"/>
        <v>-12939.632133120003</v>
      </c>
      <c r="I32" s="42">
        <f t="shared" si="3"/>
        <v>-12858.759432288003</v>
      </c>
    </row>
    <row r="33" spans="1:9">
      <c r="A33" t="s">
        <v>109</v>
      </c>
      <c r="B33" s="41"/>
    </row>
    <row r="34" spans="1:9">
      <c r="A34" t="s">
        <v>110</v>
      </c>
      <c r="B34" s="24">
        <v>0</v>
      </c>
      <c r="C34" s="24">
        <v>7349</v>
      </c>
      <c r="D34" s="24">
        <v>3493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</row>
    <row r="35" spans="1:9">
      <c r="A35" t="s">
        <v>111</v>
      </c>
      <c r="B35" s="24">
        <v>-3944</v>
      </c>
      <c r="C35" s="24">
        <v>-7349</v>
      </c>
      <c r="D35" s="24">
        <v>-3493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</row>
    <row r="36" spans="1:9">
      <c r="A36" t="s">
        <v>112</v>
      </c>
      <c r="B36" s="24">
        <v>1511</v>
      </c>
      <c r="C36" s="24">
        <v>12714</v>
      </c>
      <c r="D36" s="24">
        <v>5108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</row>
    <row r="37" spans="1:9">
      <c r="A37" t="s">
        <v>113</v>
      </c>
      <c r="B37" s="24">
        <v>2959</v>
      </c>
      <c r="C37" s="24">
        <v>0</v>
      </c>
      <c r="D37" s="24">
        <v>921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</row>
    <row r="38" spans="1:9">
      <c r="A38" t="s">
        <v>102</v>
      </c>
      <c r="B38" s="24">
        <v>0</v>
      </c>
      <c r="C38" s="24">
        <v>-1178</v>
      </c>
      <c r="D38" s="24">
        <v>-3026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</row>
    <row r="39" spans="1:9">
      <c r="A39" t="s">
        <v>114</v>
      </c>
      <c r="B39" s="24">
        <v>11391</v>
      </c>
      <c r="C39" s="24">
        <v>2975</v>
      </c>
      <c r="D39" s="24">
        <v>0</v>
      </c>
      <c r="E39" s="18">
        <f>'Debt Schedule'!E5</f>
        <v>1250</v>
      </c>
      <c r="F39" s="18">
        <f>'Debt Schedule'!F5</f>
        <v>1913</v>
      </c>
      <c r="G39" s="18">
        <f>'Debt Schedule'!G5</f>
        <v>1586.5</v>
      </c>
      <c r="H39" s="18">
        <f>'Debt Schedule'!H5</f>
        <v>1644</v>
      </c>
      <c r="I39" s="18">
        <f>'Debt Schedule'!I5</f>
        <v>1375</v>
      </c>
    </row>
    <row r="40" spans="1:9">
      <c r="A40" t="s">
        <v>115</v>
      </c>
      <c r="B40" s="24">
        <v>-423</v>
      </c>
      <c r="C40" s="24">
        <v>-2288</v>
      </c>
      <c r="D40" s="24">
        <v>-3750</v>
      </c>
      <c r="E40" s="18">
        <f>-'Debt Schedule'!E6</f>
        <v>-2500</v>
      </c>
      <c r="F40" s="18">
        <f>-'Debt Schedule'!F6</f>
        <v>-3826</v>
      </c>
      <c r="G40" s="18">
        <f>-'Debt Schedule'!G6</f>
        <v>-3173</v>
      </c>
      <c r="H40" s="18">
        <f>-'Debt Schedule'!H6</f>
        <v>-3288</v>
      </c>
      <c r="I40" s="18">
        <f>-'Debt Schedule'!I6</f>
        <v>-2750</v>
      </c>
    </row>
    <row r="41" spans="1:9">
      <c r="A41" t="s">
        <v>116</v>
      </c>
      <c r="B41" s="24">
        <v>1042</v>
      </c>
      <c r="C41" s="24">
        <v>987</v>
      </c>
      <c r="D41" s="24">
        <v>771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</row>
    <row r="42" spans="1:9">
      <c r="A42" t="s">
        <v>117</v>
      </c>
      <c r="B42" s="24">
        <v>0</v>
      </c>
      <c r="C42" s="24">
        <v>0</v>
      </c>
      <c r="D42" s="24">
        <v>12706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</row>
    <row r="43" spans="1:9">
      <c r="A43" t="s">
        <v>118</v>
      </c>
      <c r="B43" s="24">
        <v>-534</v>
      </c>
      <c r="C43" s="24">
        <v>-631</v>
      </c>
      <c r="D43" s="24">
        <v>-423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</row>
    <row r="44" spans="1:9">
      <c r="A44" t="s">
        <v>119</v>
      </c>
      <c r="B44" s="24">
        <v>-3088</v>
      </c>
      <c r="C44" s="24">
        <v>-1599</v>
      </c>
      <c r="D44" s="24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</row>
    <row r="45" spans="1:9">
      <c r="A45" t="s">
        <v>120</v>
      </c>
      <c r="B45" s="38">
        <v>-409</v>
      </c>
      <c r="C45" s="24">
        <v>158</v>
      </c>
      <c r="D45" s="24">
        <v>-720</v>
      </c>
      <c r="E45" s="79">
        <v>0</v>
      </c>
      <c r="F45" s="79">
        <v>0</v>
      </c>
      <c r="G45" s="79">
        <v>0</v>
      </c>
      <c r="H45" s="79">
        <v>0</v>
      </c>
      <c r="I45" s="79">
        <v>0</v>
      </c>
    </row>
    <row r="46" spans="1:9">
      <c r="A46" s="2" t="s">
        <v>121</v>
      </c>
      <c r="B46" s="42">
        <f>SUM(B34:B45)</f>
        <v>8505</v>
      </c>
      <c r="C46" s="42">
        <f>SUM(C34:C45)</f>
        <v>11138</v>
      </c>
      <c r="D46" s="42">
        <f>SUM(D34:D45)</f>
        <v>11587</v>
      </c>
      <c r="E46" s="80">
        <f>SUM(E34:E45)</f>
        <v>-1250</v>
      </c>
      <c r="F46" s="80">
        <f t="shared" ref="F46:I46" si="4">SUM(F34:F45)</f>
        <v>-1913</v>
      </c>
      <c r="G46" s="80">
        <f t="shared" si="4"/>
        <v>-1586.5</v>
      </c>
      <c r="H46" s="80">
        <f t="shared" si="4"/>
        <v>-1644</v>
      </c>
      <c r="I46" s="80">
        <f t="shared" si="4"/>
        <v>-1375</v>
      </c>
    </row>
    <row r="47" spans="1:9">
      <c r="A47" s="2" t="s">
        <v>122</v>
      </c>
      <c r="B47" s="43">
        <f>B23+B32+B46</f>
        <v>-4065</v>
      </c>
      <c r="C47" s="43">
        <f>C23+C32+C46</f>
        <v>1170</v>
      </c>
      <c r="D47" s="43">
        <f>D23+D32+D46</f>
        <v>6463</v>
      </c>
      <c r="E47" s="43">
        <f>E23+E32+E46</f>
        <v>118.61935931506741</v>
      </c>
      <c r="F47" s="43">
        <f t="shared" ref="F47:H47" si="5">F23+F32+F46</f>
        <v>577.97906982655331</v>
      </c>
      <c r="G47" s="43">
        <f t="shared" si="5"/>
        <v>3917.3848298334506</v>
      </c>
      <c r="H47" s="43">
        <f t="shared" si="5"/>
        <v>6800.9041376218793</v>
      </c>
      <c r="I47" s="43">
        <f>I23+I32+I46</f>
        <v>8565.1581397418631</v>
      </c>
    </row>
    <row r="48" spans="1:9" ht="17" thickBot="1">
      <c r="A48" s="2" t="s">
        <v>123</v>
      </c>
      <c r="B48" s="47">
        <f>B2+B47</f>
        <v>7079</v>
      </c>
      <c r="C48" s="47">
        <f>C2+C47</f>
        <v>8249</v>
      </c>
      <c r="D48" s="47">
        <f>D2+D47</f>
        <v>14712</v>
      </c>
      <c r="E48" s="47">
        <f>E2+E47</f>
        <v>14830.619359315067</v>
      </c>
      <c r="F48" s="47">
        <f t="shared" ref="F48:I48" si="6">F2+F47</f>
        <v>15408.598429141621</v>
      </c>
      <c r="G48" s="47">
        <f t="shared" si="6"/>
        <v>19325.983258975073</v>
      </c>
      <c r="H48" s="47">
        <f t="shared" si="6"/>
        <v>26126.887396596954</v>
      </c>
      <c r="I48" s="47">
        <f t="shared" si="6"/>
        <v>34692.045536338817</v>
      </c>
    </row>
    <row r="49" spans="1:5" ht="17" thickTop="1">
      <c r="A49" t="s">
        <v>124</v>
      </c>
    </row>
    <row r="50" spans="1:5">
      <c r="A50" s="1" t="s">
        <v>125</v>
      </c>
      <c r="B50" s="24">
        <v>4804</v>
      </c>
      <c r="C50" s="24">
        <v>8125</v>
      </c>
      <c r="D50" s="24">
        <v>4952</v>
      </c>
    </row>
    <row r="51" spans="1:5">
      <c r="A51" s="1" t="s">
        <v>126</v>
      </c>
    </row>
    <row r="52" spans="1:5">
      <c r="A52" s="1" t="s">
        <v>127</v>
      </c>
      <c r="B52" s="24">
        <v>613</v>
      </c>
      <c r="C52" s="24">
        <v>987</v>
      </c>
      <c r="D52" s="24">
        <v>1106</v>
      </c>
    </row>
    <row r="55" spans="1:5">
      <c r="A55" s="2" t="s">
        <v>66</v>
      </c>
      <c r="E55" t="s">
        <v>302</v>
      </c>
    </row>
    <row r="56" spans="1:5">
      <c r="A56" s="2" t="s">
        <v>99</v>
      </c>
      <c r="B56" s="15">
        <v>9796</v>
      </c>
      <c r="C56" s="15">
        <v>27521</v>
      </c>
      <c r="D56" s="15">
        <v>9671</v>
      </c>
      <c r="E56" s="15">
        <v>14734</v>
      </c>
    </row>
    <row r="57" spans="1:5">
      <c r="A57" s="2" t="s">
        <v>134</v>
      </c>
      <c r="B57" s="15">
        <v>11471</v>
      </c>
      <c r="C57" s="15">
        <v>8288</v>
      </c>
      <c r="D57" s="15">
        <v>9697</v>
      </c>
      <c r="E57" s="15">
        <v>13522</v>
      </c>
    </row>
    <row r="58" spans="1:5">
      <c r="A58" s="2" t="s">
        <v>135</v>
      </c>
      <c r="B58" s="15">
        <v>-24041</v>
      </c>
      <c r="C58" s="15">
        <v>-18256</v>
      </c>
      <c r="D58" s="15">
        <v>-14821</v>
      </c>
      <c r="E58" s="15">
        <v>-12156</v>
      </c>
    </row>
    <row r="59" spans="1:5">
      <c r="A59" s="2" t="s">
        <v>136</v>
      </c>
      <c r="B59" s="15">
        <v>8505</v>
      </c>
      <c r="C59" s="15">
        <v>11138</v>
      </c>
      <c r="D59" s="15">
        <v>11587</v>
      </c>
      <c r="E59" s="15">
        <v>0</v>
      </c>
    </row>
    <row r="60" spans="1:5">
      <c r="A60" s="2" t="s">
        <v>137</v>
      </c>
      <c r="B60" s="15">
        <v>-4065</v>
      </c>
      <c r="C60" s="15">
        <v>1170</v>
      </c>
      <c r="D60" s="15">
        <v>6463</v>
      </c>
      <c r="E60" s="15">
        <v>1365</v>
      </c>
    </row>
    <row r="61" spans="1:5">
      <c r="A61" s="2" t="s">
        <v>138</v>
      </c>
      <c r="B61" s="15">
        <v>7079</v>
      </c>
      <c r="C61" s="15">
        <v>8249</v>
      </c>
      <c r="D61" s="15">
        <v>14712</v>
      </c>
      <c r="E61" s="15">
        <v>16077</v>
      </c>
    </row>
    <row r="62" spans="1:5">
      <c r="A62" s="2" t="s">
        <v>28</v>
      </c>
    </row>
    <row r="63" spans="1:5">
      <c r="A63" s="2" t="s">
        <v>143</v>
      </c>
      <c r="B63">
        <f t="shared" ref="B63:E64" si="7">B22-B56</f>
        <v>0</v>
      </c>
      <c r="C63">
        <f t="shared" si="7"/>
        <v>0</v>
      </c>
      <c r="D63">
        <f t="shared" si="7"/>
        <v>0</v>
      </c>
      <c r="E63" s="57">
        <f t="shared" si="7"/>
        <v>-0.26865068493134459</v>
      </c>
    </row>
    <row r="64" spans="1:5">
      <c r="A64" s="2" t="s">
        <v>139</v>
      </c>
      <c r="B64">
        <f t="shared" si="7"/>
        <v>0</v>
      </c>
      <c r="C64">
        <f t="shared" si="7"/>
        <v>0</v>
      </c>
      <c r="D64">
        <f t="shared" si="7"/>
        <v>0</v>
      </c>
      <c r="E64" s="57">
        <f t="shared" si="7"/>
        <v>2.8093593150679226</v>
      </c>
    </row>
    <row r="65" spans="1:5">
      <c r="A65" s="2" t="s">
        <v>140</v>
      </c>
      <c r="B65">
        <f>B32-B58</f>
        <v>0</v>
      </c>
      <c r="C65">
        <f>C32-C58</f>
        <v>0</v>
      </c>
      <c r="D65">
        <f>D32-D58</f>
        <v>0</v>
      </c>
      <c r="E65" s="57">
        <f>E32-E58</f>
        <v>-0.19000000000050932</v>
      </c>
    </row>
    <row r="66" spans="1:5">
      <c r="A66" s="2" t="s">
        <v>141</v>
      </c>
      <c r="B66">
        <f t="shared" ref="B66:E68" si="8">B46-B59</f>
        <v>0</v>
      </c>
      <c r="C66">
        <f t="shared" si="8"/>
        <v>0</v>
      </c>
      <c r="D66">
        <f t="shared" si="8"/>
        <v>0</v>
      </c>
      <c r="E66" s="57">
        <f t="shared" si="8"/>
        <v>-1250</v>
      </c>
    </row>
    <row r="67" spans="1:5">
      <c r="A67" s="2" t="s">
        <v>142</v>
      </c>
      <c r="B67">
        <f t="shared" si="8"/>
        <v>0</v>
      </c>
      <c r="C67">
        <f t="shared" si="8"/>
        <v>0</v>
      </c>
      <c r="D67">
        <f t="shared" si="8"/>
        <v>0</v>
      </c>
      <c r="E67" s="57">
        <f t="shared" si="8"/>
        <v>-1246.3806406849326</v>
      </c>
    </row>
    <row r="68" spans="1:5">
      <c r="A68" s="2" t="s">
        <v>144</v>
      </c>
      <c r="B68">
        <f t="shared" si="8"/>
        <v>0</v>
      </c>
      <c r="C68">
        <f t="shared" si="8"/>
        <v>0</v>
      </c>
      <c r="D68">
        <f t="shared" si="8"/>
        <v>0</v>
      </c>
      <c r="E68" s="57">
        <f t="shared" si="8"/>
        <v>-1246.3806406849326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A23A-7E1C-684F-9922-9E4D6852F66A}">
  <dimension ref="A1:J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1" sqref="I31"/>
    </sheetView>
  </sheetViews>
  <sheetFormatPr baseColWidth="10" defaultRowHeight="16"/>
  <cols>
    <col min="1" max="1" width="44.6640625" bestFit="1" customWidth="1"/>
    <col min="10" max="10" width="14" customWidth="1"/>
  </cols>
  <sheetData>
    <row r="1" spans="1:10">
      <c r="A1" s="2" t="s">
        <v>226</v>
      </c>
      <c r="B1">
        <v>1</v>
      </c>
    </row>
    <row r="2" spans="1:10">
      <c r="A2" t="s">
        <v>220</v>
      </c>
      <c r="B2" t="str">
        <f>CHOOSE(B1,"Base","Upside","Downside")</f>
        <v>Base</v>
      </c>
      <c r="J2" t="str">
        <f>"Case: "&amp;Scenarios!$B$2</f>
        <v>Case: Base</v>
      </c>
    </row>
    <row r="3" spans="1:10">
      <c r="E3">
        <f>CHOOSE(Scenarios!$B$1,Scenarios!E5,Scenarios!E6,Scenarios!E7)</f>
        <v>0.15</v>
      </c>
      <c r="F3">
        <f>CHOOSE(Scenarios!$B$1,Scenarios!F5,Scenarios!F6,Scenarios!F7)</f>
        <v>0.12</v>
      </c>
      <c r="G3">
        <f>CHOOSE(Scenarios!$B$1,Scenarios!G5,Scenarios!G6,Scenarios!G7)</f>
        <v>0.1</v>
      </c>
      <c r="H3">
        <f>CHOOSE(Scenarios!$B$1,Scenarios!H5,Scenarios!H6,Scenarios!H7)</f>
        <v>0.08</v>
      </c>
      <c r="I3">
        <f>CHOOSE(Scenarios!$B$1,Scenarios!I5,Scenarios!I6,Scenarios!I7)</f>
        <v>0.06</v>
      </c>
    </row>
    <row r="4" spans="1:10">
      <c r="A4" t="s">
        <v>149</v>
      </c>
      <c r="E4" t="s">
        <v>172</v>
      </c>
      <c r="F4" t="s">
        <v>213</v>
      </c>
      <c r="G4" t="s">
        <v>214</v>
      </c>
      <c r="H4" t="s">
        <v>215</v>
      </c>
      <c r="I4" t="s">
        <v>216</v>
      </c>
    </row>
    <row r="5" spans="1:10">
      <c r="A5" t="s">
        <v>221</v>
      </c>
      <c r="E5" s="63">
        <v>0.15</v>
      </c>
      <c r="F5" s="63">
        <v>0.12</v>
      </c>
      <c r="G5" s="63">
        <v>0.1</v>
      </c>
      <c r="H5" s="63">
        <v>0.08</v>
      </c>
      <c r="I5" s="63">
        <v>0.06</v>
      </c>
    </row>
    <row r="6" spans="1:10">
      <c r="A6" t="s">
        <v>222</v>
      </c>
      <c r="E6" s="82">
        <v>0.18</v>
      </c>
      <c r="F6" s="82">
        <v>0.15</v>
      </c>
      <c r="G6" s="82">
        <v>0.12</v>
      </c>
      <c r="H6" s="82">
        <v>0.1</v>
      </c>
      <c r="I6" s="82">
        <v>0.08</v>
      </c>
    </row>
    <row r="7" spans="1:10">
      <c r="A7" t="s">
        <v>225</v>
      </c>
      <c r="E7" s="82">
        <v>0.08</v>
      </c>
      <c r="F7" s="82">
        <v>0.06</v>
      </c>
      <c r="G7" s="82">
        <v>0.05</v>
      </c>
      <c r="H7" s="82">
        <v>0.04</v>
      </c>
      <c r="I7" s="82">
        <v>0.03</v>
      </c>
    </row>
    <row r="9" spans="1:10">
      <c r="A9" t="s">
        <v>224</v>
      </c>
      <c r="E9" t="s">
        <v>172</v>
      </c>
      <c r="F9" t="s">
        <v>213</v>
      </c>
      <c r="G9" t="s">
        <v>214</v>
      </c>
      <c r="H9" t="s">
        <v>215</v>
      </c>
      <c r="I9" t="s">
        <v>216</v>
      </c>
    </row>
    <row r="10" spans="1:10">
      <c r="A10" t="s">
        <v>221</v>
      </c>
      <c r="E10" s="82">
        <v>0.35</v>
      </c>
      <c r="F10" s="82">
        <v>0.36</v>
      </c>
      <c r="G10" s="82">
        <v>0.37</v>
      </c>
      <c r="H10" s="82">
        <v>0.38</v>
      </c>
      <c r="I10" s="82">
        <v>0.38</v>
      </c>
    </row>
    <row r="11" spans="1:10">
      <c r="A11" t="s">
        <v>222</v>
      </c>
      <c r="E11" s="63">
        <v>0.38</v>
      </c>
      <c r="F11" s="63">
        <v>0.4</v>
      </c>
      <c r="G11" s="63">
        <v>0.41</v>
      </c>
      <c r="H11" s="63">
        <v>0.42</v>
      </c>
      <c r="I11" s="63">
        <v>0.43</v>
      </c>
    </row>
    <row r="12" spans="1:10">
      <c r="A12" t="s">
        <v>225</v>
      </c>
      <c r="E12" s="63">
        <v>0.32</v>
      </c>
      <c r="F12" s="63">
        <v>0.32</v>
      </c>
      <c r="G12" s="63">
        <v>0.33</v>
      </c>
      <c r="H12" s="63">
        <v>0.33</v>
      </c>
      <c r="I12" s="63">
        <v>0.34</v>
      </c>
    </row>
    <row r="14" spans="1:10">
      <c r="A14" t="s">
        <v>223</v>
      </c>
      <c r="E14" t="s">
        <v>172</v>
      </c>
      <c r="F14" t="s">
        <v>213</v>
      </c>
      <c r="G14" t="s">
        <v>214</v>
      </c>
      <c r="H14" t="s">
        <v>215</v>
      </c>
      <c r="I14" t="s">
        <v>216</v>
      </c>
    </row>
    <row r="15" spans="1:10">
      <c r="A15" t="s">
        <v>221</v>
      </c>
      <c r="E15" s="63">
        <v>0.2</v>
      </c>
      <c r="F15" s="63">
        <v>0.2</v>
      </c>
      <c r="G15" s="63">
        <v>0.18</v>
      </c>
      <c r="H15" s="63">
        <v>0.16</v>
      </c>
      <c r="I15" s="63">
        <v>0.15</v>
      </c>
    </row>
    <row r="16" spans="1:10">
      <c r="A16" t="s">
        <v>222</v>
      </c>
      <c r="E16" s="81">
        <v>0.18</v>
      </c>
      <c r="F16" s="81">
        <v>0.17</v>
      </c>
      <c r="G16" s="81">
        <v>0.16</v>
      </c>
      <c r="H16" s="81">
        <v>0.14000000000000001</v>
      </c>
      <c r="I16" s="81">
        <v>0.12</v>
      </c>
    </row>
    <row r="17" spans="1:9">
      <c r="A17" t="s">
        <v>225</v>
      </c>
      <c r="E17" s="81">
        <v>0.23</v>
      </c>
      <c r="F17" s="81">
        <v>0.22</v>
      </c>
      <c r="G17" s="81">
        <v>0.2</v>
      </c>
      <c r="H17" s="81">
        <v>0.18</v>
      </c>
      <c r="I17" s="81">
        <v>0.17</v>
      </c>
    </row>
    <row r="20" spans="1:9">
      <c r="A20" s="2" t="s">
        <v>416</v>
      </c>
      <c r="C20" t="s">
        <v>417</v>
      </c>
      <c r="D20" t="s">
        <v>418</v>
      </c>
      <c r="E20" t="s">
        <v>419</v>
      </c>
    </row>
    <row r="21" spans="1:9">
      <c r="C21">
        <v>1</v>
      </c>
      <c r="D21">
        <v>2</v>
      </c>
      <c r="E21">
        <v>3</v>
      </c>
    </row>
    <row r="22" spans="1:9">
      <c r="A22" t="s">
        <v>420</v>
      </c>
      <c r="B22" s="3">
        <f>'Income Statement'!I2</f>
        <v>85725.062881920021</v>
      </c>
      <c r="C22" s="3">
        <f t="dataTable" ref="C22:E27" dt2D="0" dtr="1" r1="B1" ca="1"/>
        <v>85725.062881920021</v>
      </c>
      <c r="D22" s="3">
        <v>95429.786981760015</v>
      </c>
      <c r="E22" s="3">
        <v>68054.857232544004</v>
      </c>
    </row>
    <row r="23" spans="1:9">
      <c r="A23" t="s">
        <v>421</v>
      </c>
      <c r="B23" s="3">
        <f>'Income Statement'!I16</f>
        <v>8105.147000330202</v>
      </c>
      <c r="C23" s="3">
        <v>8105.147000330202</v>
      </c>
      <c r="D23" s="3">
        <v>13183.475776934663</v>
      </c>
      <c r="E23" s="3">
        <v>4038.8517106659074</v>
      </c>
    </row>
    <row r="24" spans="1:9">
      <c r="A24" t="s">
        <v>422</v>
      </c>
      <c r="B24" s="59">
        <f>'Income Statement'!I18</f>
        <v>1.5518895224440838</v>
      </c>
      <c r="C24" s="59">
        <v>1.5518895224440838</v>
      </c>
      <c r="D24" s="59">
        <v>2.5242352701051289</v>
      </c>
      <c r="E24" s="59">
        <v>0.77331745522103867</v>
      </c>
    </row>
    <row r="25" spans="1:9">
      <c r="A25" t="s">
        <v>423</v>
      </c>
      <c r="B25" s="106">
        <f>'Cash Flow Statement'!I48</f>
        <v>34692.045536338817</v>
      </c>
      <c r="C25" s="3">
        <v>34692.045536338817</v>
      </c>
      <c r="D25" s="3">
        <v>53809.716555326922</v>
      </c>
      <c r="E25" s="3">
        <v>23929.384162026479</v>
      </c>
    </row>
    <row r="26" spans="1:9">
      <c r="A26" t="s">
        <v>286</v>
      </c>
      <c r="B26" s="104">
        <f>'Credit Ratios'!I9</f>
        <v>1.7458018721196873</v>
      </c>
      <c r="C26" s="104">
        <v>1.7458018721196873</v>
      </c>
      <c r="D26" s="104">
        <v>1.3937562993962662</v>
      </c>
      <c r="E26" s="104">
        <v>2.2502592753889576</v>
      </c>
    </row>
    <row r="27" spans="1:9">
      <c r="A27" t="s">
        <v>424</v>
      </c>
      <c r="B27" s="59">
        <f>DCF!B45</f>
        <v>5.273234321167692</v>
      </c>
      <c r="C27" s="59">
        <v>5.273234321167692</v>
      </c>
      <c r="D27" s="59">
        <v>12.199706201464082</v>
      </c>
      <c r="E27" s="59">
        <v>1.9665087052204273</v>
      </c>
    </row>
    <row r="28" spans="1:9">
      <c r="C28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6395-E809-F946-B43A-9C15F28C7588}">
  <dimension ref="A1:J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22.5" bestFit="1" customWidth="1"/>
    <col min="5" max="5" width="12.5" bestFit="1" customWidth="1"/>
  </cols>
  <sheetData>
    <row r="1" spans="1:10">
      <c r="A1" s="2" t="s">
        <v>227</v>
      </c>
    </row>
    <row r="2" spans="1:10">
      <c r="J2" t="str">
        <f>"Case: "&amp;Scenarios!$B$2</f>
        <v>Case: Base</v>
      </c>
    </row>
    <row r="3" spans="1:10">
      <c r="E3" t="s">
        <v>172</v>
      </c>
      <c r="F3" t="s">
        <v>213</v>
      </c>
      <c r="G3" t="s">
        <v>214</v>
      </c>
      <c r="H3" t="s">
        <v>215</v>
      </c>
      <c r="I3" t="s">
        <v>228</v>
      </c>
    </row>
    <row r="4" spans="1:10">
      <c r="A4" t="s">
        <v>229</v>
      </c>
      <c r="E4" s="61">
        <f>'Cash Flow Statement'!E23</f>
        <v>13524.809359315068</v>
      </c>
      <c r="F4" s="61">
        <f>'Cash Flow Statement'!F23</f>
        <v>16105.911869826556</v>
      </c>
      <c r="G4" s="61">
        <f>'Cash Flow Statement'!G23</f>
        <v>18982.668301833452</v>
      </c>
      <c r="H4" s="61">
        <f>'Cash Flow Statement'!H23</f>
        <v>21384.536270741883</v>
      </c>
      <c r="I4" s="61">
        <f>'Cash Flow Statement'!I23</f>
        <v>22798.917572029866</v>
      </c>
    </row>
    <row r="5" spans="1:10">
      <c r="A5" t="s">
        <v>230</v>
      </c>
      <c r="E5" s="61">
        <f>'Cash Flow Statement'!E25</f>
        <v>-12156.19</v>
      </c>
      <c r="F5" s="61">
        <f>'Cash Flow Statement'!F25</f>
        <v>-13614.932800000002</v>
      </c>
      <c r="G5" s="61">
        <f>'Cash Flow Statement'!G25</f>
        <v>-13478.783472000001</v>
      </c>
      <c r="H5" s="61">
        <f>'Cash Flow Statement'!H25</f>
        <v>-12939.632133120003</v>
      </c>
      <c r="I5" s="61">
        <f>'Cash Flow Statement'!I25</f>
        <v>-12858.759432288003</v>
      </c>
    </row>
    <row r="6" spans="1:10">
      <c r="A6" t="s">
        <v>231</v>
      </c>
      <c r="E6" s="61">
        <f>E4+E5</f>
        <v>1368.6193593150674</v>
      </c>
      <c r="F6" s="61">
        <f t="shared" ref="F6:I6" si="0">F4+F5</f>
        <v>2490.9790698265533</v>
      </c>
      <c r="G6" s="61">
        <f t="shared" si="0"/>
        <v>5503.8848298334506</v>
      </c>
      <c r="H6" s="61">
        <f t="shared" si="0"/>
        <v>8444.9041376218793</v>
      </c>
      <c r="I6" s="61">
        <f t="shared" si="0"/>
        <v>9940.1581397418631</v>
      </c>
    </row>
    <row r="7" spans="1:10">
      <c r="A7" t="s">
        <v>232</v>
      </c>
      <c r="E7" s="18">
        <f>E6</f>
        <v>1368.6193593150674</v>
      </c>
      <c r="F7" s="18">
        <f>F6+E7</f>
        <v>3859.5984291416207</v>
      </c>
      <c r="G7" s="18">
        <f t="shared" ref="G7:I7" si="1">G6+F7</f>
        <v>9363.4832589750713</v>
      </c>
      <c r="H7" s="18">
        <f t="shared" si="1"/>
        <v>17808.387396596951</v>
      </c>
      <c r="I7" s="18">
        <f t="shared" si="1"/>
        <v>27748.545536338814</v>
      </c>
    </row>
    <row r="9" spans="1:10">
      <c r="A9" t="s">
        <v>233</v>
      </c>
      <c r="B9" t="str" cm="1">
        <f t="array" ref="B9">INDEX(E3:I3,MATCH(TRUE,INDEX(E7:I7&gt;0,0),0))</f>
        <v>FY2026E</v>
      </c>
      <c r="E9" t="str">
        <f>IF(E7&gt;0,E3,"")</f>
        <v>FY2026E</v>
      </c>
      <c r="F9" t="str">
        <f t="shared" ref="F9:I9" si="2">IF(F7&gt;0,F3,"")</f>
        <v>FY2027E</v>
      </c>
      <c r="G9" t="str">
        <f t="shared" si="2"/>
        <v>FY2028E</v>
      </c>
      <c r="H9" t="str">
        <f t="shared" si="2"/>
        <v>FY2029E</v>
      </c>
      <c r="I9" t="str">
        <f t="shared" si="2"/>
        <v xml:space="preserve">FY2030E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9199-0BD3-3840-B329-59F2A21297FD}">
  <dimension ref="A1:J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33.5" bestFit="1" customWidth="1"/>
    <col min="5" max="9" width="12.5" bestFit="1" customWidth="1"/>
  </cols>
  <sheetData>
    <row r="1" spans="1:10">
      <c r="A1" s="2" t="s">
        <v>234</v>
      </c>
    </row>
    <row r="2" spans="1:10">
      <c r="J2" s="83" t="str">
        <f>"Case: "&amp;Scenarios!$B$2</f>
        <v>Case: Base</v>
      </c>
    </row>
    <row r="3" spans="1:10">
      <c r="E3" t="s">
        <v>172</v>
      </c>
      <c r="F3" t="s">
        <v>213</v>
      </c>
      <c r="G3" t="s">
        <v>214</v>
      </c>
      <c r="H3" t="s">
        <v>215</v>
      </c>
      <c r="I3" t="s">
        <v>216</v>
      </c>
    </row>
    <row r="4" spans="1:10">
      <c r="A4" t="s">
        <v>235</v>
      </c>
      <c r="E4" s="61">
        <f>'Balance Sheet'!D11</f>
        <v>105414</v>
      </c>
      <c r="F4" s="61">
        <f>'Balance Sheet'!E11</f>
        <v>105974.65</v>
      </c>
      <c r="G4" s="61">
        <f>'Balance Sheet'!F11</f>
        <v>107932.3713</v>
      </c>
      <c r="H4" s="61">
        <f>'Balance Sheet'!G11</f>
        <v>109538.593929</v>
      </c>
      <c r="I4" s="61">
        <f>'Balance Sheet'!H11</f>
        <v>110428.98072993</v>
      </c>
    </row>
    <row r="5" spans="1:10">
      <c r="A5" t="s">
        <v>236</v>
      </c>
      <c r="E5" s="61">
        <f>-'Cash Flow Statement'!E25</f>
        <v>12156.19</v>
      </c>
      <c r="F5" s="61">
        <f>-'Cash Flow Statement'!F25</f>
        <v>13614.932800000002</v>
      </c>
      <c r="G5" s="61">
        <f>-'Cash Flow Statement'!G25</f>
        <v>13478.783472000001</v>
      </c>
      <c r="H5" s="61">
        <f>-'Cash Flow Statement'!H25</f>
        <v>12939.632133120003</v>
      </c>
      <c r="I5" s="61">
        <f>-'Cash Flow Statement'!I25</f>
        <v>12858.759432288003</v>
      </c>
    </row>
    <row r="6" spans="1:10">
      <c r="A6" t="s">
        <v>237</v>
      </c>
      <c r="E6" s="61">
        <f>'Cash Flow Statement'!E6</f>
        <v>11595.54</v>
      </c>
      <c r="F6" s="61">
        <f>'Cash Flow Statement'!F6</f>
        <v>11657.211499999999</v>
      </c>
      <c r="G6" s="61">
        <f>'Cash Flow Statement'!G6</f>
        <v>11872.560842999999</v>
      </c>
      <c r="H6" s="61">
        <f>'Cash Flow Statement'!H6</f>
        <v>12049.245332189999</v>
      </c>
      <c r="I6" s="61">
        <f>'Cash Flow Statement'!I6</f>
        <v>12147.1878802923</v>
      </c>
    </row>
    <row r="7" spans="1:10">
      <c r="A7" t="s">
        <v>238</v>
      </c>
      <c r="E7" s="18">
        <f>E4+E5-E6</f>
        <v>105974.65</v>
      </c>
      <c r="F7" s="18">
        <f t="shared" ref="F7:I7" si="0">F4+F5-F6</f>
        <v>107932.3713</v>
      </c>
      <c r="G7" s="18">
        <f t="shared" si="0"/>
        <v>109538.593929</v>
      </c>
      <c r="H7" s="18">
        <f t="shared" si="0"/>
        <v>110428.98072993</v>
      </c>
      <c r="I7" s="18">
        <f t="shared" si="0"/>
        <v>111140.5522819257</v>
      </c>
    </row>
    <row r="9" spans="1:10">
      <c r="A9" t="s">
        <v>239</v>
      </c>
      <c r="E9" s="84">
        <f>E6/E4</f>
        <v>0.11000000000000001</v>
      </c>
      <c r="F9" s="84">
        <f t="shared" ref="F9:I9" si="1">F6/F4</f>
        <v>0.11</v>
      </c>
      <c r="G9" s="84">
        <f t="shared" si="1"/>
        <v>0.11</v>
      </c>
      <c r="H9" s="84">
        <f t="shared" si="1"/>
        <v>0.11</v>
      </c>
      <c r="I9" s="84">
        <f t="shared" si="1"/>
        <v>0.11</v>
      </c>
    </row>
    <row r="11" spans="1:10">
      <c r="A11" t="s">
        <v>240</v>
      </c>
      <c r="E11" s="61">
        <f>'Balance Sheet'!E11</f>
        <v>105974.65</v>
      </c>
      <c r="F11" s="61">
        <f>'Balance Sheet'!F11</f>
        <v>107932.3713</v>
      </c>
      <c r="G11" s="61">
        <f>'Balance Sheet'!G11</f>
        <v>109538.593929</v>
      </c>
      <c r="H11" s="61">
        <f>'Balance Sheet'!H11</f>
        <v>110428.98072993</v>
      </c>
      <c r="I11" s="61">
        <f>'Balance Sheet'!I11</f>
        <v>111140.5522819257</v>
      </c>
    </row>
    <row r="12" spans="1:10">
      <c r="A12" t="s">
        <v>241</v>
      </c>
      <c r="E12">
        <f>E7-E11</f>
        <v>0</v>
      </c>
      <c r="F12">
        <f t="shared" ref="F12:I12" si="2">F7-F11</f>
        <v>0</v>
      </c>
      <c r="G12">
        <f t="shared" si="2"/>
        <v>0</v>
      </c>
      <c r="H12">
        <f t="shared" si="2"/>
        <v>0</v>
      </c>
      <c r="I12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C586-43C3-BB4A-B3F2-6EC171189B7F}">
  <dimension ref="A1:J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0" sqref="F30"/>
    </sheetView>
  </sheetViews>
  <sheetFormatPr baseColWidth="10" defaultRowHeight="16"/>
  <cols>
    <col min="1" max="1" width="37.6640625" bestFit="1" customWidth="1"/>
    <col min="2" max="2" width="10.83203125" customWidth="1"/>
    <col min="4" max="4" width="16" bestFit="1" customWidth="1"/>
    <col min="5" max="5" width="15.33203125" bestFit="1" customWidth="1"/>
    <col min="6" max="6" width="15.6640625" bestFit="1" customWidth="1"/>
    <col min="7" max="7" width="16" bestFit="1" customWidth="1"/>
    <col min="8" max="8" width="16.5" bestFit="1" customWidth="1"/>
    <col min="9" max="9" width="15.6640625" bestFit="1" customWidth="1"/>
  </cols>
  <sheetData>
    <row r="1" spans="1:10">
      <c r="A1" s="2" t="s">
        <v>244</v>
      </c>
    </row>
    <row r="2" spans="1:10">
      <c r="J2" t="str">
        <f>"Case: "&amp;Scenarios!$B$2</f>
        <v>Case: Base</v>
      </c>
    </row>
    <row r="3" spans="1:10">
      <c r="D3" t="s">
        <v>2</v>
      </c>
      <c r="E3" t="s">
        <v>172</v>
      </c>
      <c r="F3" t="s">
        <v>213</v>
      </c>
      <c r="G3" t="s">
        <v>214</v>
      </c>
      <c r="H3" t="s">
        <v>215</v>
      </c>
      <c r="I3" t="s">
        <v>216</v>
      </c>
    </row>
    <row r="4" spans="1:10">
      <c r="A4" t="s">
        <v>245</v>
      </c>
      <c r="D4" s="61">
        <f>'Income Statement'!D2</f>
        <v>52853</v>
      </c>
      <c r="E4" s="61">
        <f>'Income Statement'!E2</f>
        <v>60780.95</v>
      </c>
      <c r="F4" s="61">
        <f>'Income Statement'!F2</f>
        <v>68074.664000000004</v>
      </c>
      <c r="G4" s="61">
        <f>'Income Statement'!G2</f>
        <v>74882.130400000009</v>
      </c>
      <c r="H4" s="61">
        <f>'Income Statement'!H2</f>
        <v>80872.700832000017</v>
      </c>
      <c r="I4" s="61">
        <f>'Income Statement'!I2</f>
        <v>85725.062881920021</v>
      </c>
    </row>
    <row r="5" spans="1:10">
      <c r="A5" t="s">
        <v>246</v>
      </c>
      <c r="D5" s="61">
        <f>'Income Statement'!D3</f>
        <v>34478</v>
      </c>
      <c r="E5" s="61">
        <f>'Income Statement'!E3</f>
        <v>39507.6175</v>
      </c>
      <c r="F5" s="61">
        <f>'Income Statement'!F3</f>
        <v>43567.784960000005</v>
      </c>
      <c r="G5" s="61">
        <f>'Income Statement'!G3</f>
        <v>47175.742152000006</v>
      </c>
      <c r="H5" s="61">
        <f>'Income Statement'!H3</f>
        <v>50141.07451584001</v>
      </c>
      <c r="I5" s="61">
        <f>'Income Statement'!I3</f>
        <v>53149.538986790416</v>
      </c>
    </row>
    <row r="7" spans="1:10">
      <c r="A7" t="s">
        <v>247</v>
      </c>
      <c r="D7" s="57">
        <f>Assumptions!D21</f>
        <v>26.511929313378616</v>
      </c>
      <c r="E7" s="57">
        <f>Assumptions!E21</f>
        <v>28</v>
      </c>
      <c r="F7" s="57">
        <f>Assumptions!F21</f>
        <v>28</v>
      </c>
      <c r="G7" s="57">
        <f>Assumptions!G21</f>
        <v>28</v>
      </c>
      <c r="H7" s="57">
        <f>Assumptions!H21</f>
        <v>28</v>
      </c>
      <c r="I7" s="57">
        <f>Assumptions!I21</f>
        <v>28</v>
      </c>
    </row>
    <row r="8" spans="1:10">
      <c r="A8" t="s">
        <v>196</v>
      </c>
      <c r="D8" s="57">
        <f>Assumptions!D22</f>
        <v>122.99350310342828</v>
      </c>
      <c r="E8" s="57">
        <f>Assumptions!E22</f>
        <v>121</v>
      </c>
      <c r="F8" s="57">
        <f>Assumptions!F22</f>
        <v>121</v>
      </c>
      <c r="G8" s="57">
        <f>Assumptions!G22</f>
        <v>121</v>
      </c>
      <c r="H8" s="57">
        <f>Assumptions!H22</f>
        <v>121</v>
      </c>
      <c r="I8" s="57">
        <f>Assumptions!I22</f>
        <v>121</v>
      </c>
    </row>
    <row r="9" spans="1:10">
      <c r="A9" t="s">
        <v>197</v>
      </c>
      <c r="D9" s="59">
        <f>Assumptions!D23</f>
        <v>104.6154069261558</v>
      </c>
      <c r="E9" s="59">
        <f>Assumptions!E23</f>
        <v>112</v>
      </c>
      <c r="F9" s="59">
        <f>Assumptions!F23</f>
        <v>112</v>
      </c>
      <c r="G9" s="59">
        <f>Assumptions!G23</f>
        <v>112</v>
      </c>
      <c r="H9" s="59">
        <f>Assumptions!H23</f>
        <v>112</v>
      </c>
      <c r="I9" s="59">
        <f>Assumptions!I23</f>
        <v>112</v>
      </c>
    </row>
    <row r="11" spans="1:10">
      <c r="A11" t="s">
        <v>248</v>
      </c>
      <c r="D11" s="61">
        <f>'Balance Sheet'!D6</f>
        <v>3839</v>
      </c>
      <c r="E11" s="61">
        <f>'Balance Sheet'!E6</f>
        <v>4662.6482191780824</v>
      </c>
      <c r="F11" s="61">
        <f>'Balance Sheet'!F6</f>
        <v>5222.1660054794529</v>
      </c>
      <c r="G11" s="61">
        <f>'Balance Sheet'!G6</f>
        <v>5744.3826060273987</v>
      </c>
      <c r="H11" s="61">
        <f>'Balance Sheet'!H6</f>
        <v>6203.9332145095905</v>
      </c>
      <c r="I11" s="61">
        <f>'Balance Sheet'!I6</f>
        <v>6576.169207380166</v>
      </c>
    </row>
    <row r="12" spans="1:10">
      <c r="A12" t="s">
        <v>249</v>
      </c>
      <c r="D12">
        <f>'Balance Sheet'!D7</f>
        <v>11618</v>
      </c>
      <c r="E12">
        <f>'Balance Sheet'!E7</f>
        <v>13097.045801369864</v>
      </c>
      <c r="F12">
        <f>'Balance Sheet'!F7</f>
        <v>14443.01912372603</v>
      </c>
      <c r="G12">
        <f>'Balance Sheet'!G7</f>
        <v>15639.081644909593</v>
      </c>
      <c r="H12">
        <f>'Balance Sheet'!H7</f>
        <v>16622.109634018198</v>
      </c>
      <c r="I12">
        <f>'Balance Sheet'!I7</f>
        <v>17619.436212059289</v>
      </c>
    </row>
    <row r="13" spans="1:10">
      <c r="A13" t="s">
        <v>250</v>
      </c>
      <c r="D13" s="61">
        <f>'Balance Sheet'!D20</f>
        <v>9882</v>
      </c>
      <c r="E13" s="61">
        <f>'Balance Sheet'!E20</f>
        <v>12122.885369863014</v>
      </c>
      <c r="F13" s="61">
        <f>'Balance Sheet'!F20</f>
        <v>13368.744974027399</v>
      </c>
      <c r="G13" s="61">
        <f>'Balance Sheet'!G20</f>
        <v>14475.844167189043</v>
      </c>
      <c r="H13" s="61">
        <f>'Balance Sheet'!H20</f>
        <v>15385.754371983785</v>
      </c>
      <c r="I13" s="61">
        <f>'Balance Sheet'!I20</f>
        <v>16308.899634302814</v>
      </c>
    </row>
    <row r="14" spans="1:10">
      <c r="A14" t="s">
        <v>251</v>
      </c>
      <c r="D14" s="61">
        <f>D11+D12-D13</f>
        <v>5575</v>
      </c>
      <c r="E14" s="61">
        <f t="shared" ref="E14:I14" si="0">E11+E12-E13</f>
        <v>5636.808650684934</v>
      </c>
      <c r="F14" s="61">
        <f t="shared" si="0"/>
        <v>6296.4401551780829</v>
      </c>
      <c r="G14" s="61">
        <f t="shared" si="0"/>
        <v>6907.6200837479482</v>
      </c>
      <c r="H14" s="61">
        <f t="shared" si="0"/>
        <v>7440.2884765440031</v>
      </c>
      <c r="I14" s="61">
        <f t="shared" si="0"/>
        <v>7886.705785136639</v>
      </c>
    </row>
    <row r="15" spans="1:10">
      <c r="A15" t="s">
        <v>252</v>
      </c>
      <c r="D15" s="61"/>
      <c r="E15" s="61">
        <f>E14-D14</f>
        <v>61.808650684934037</v>
      </c>
      <c r="F15" s="61">
        <f t="shared" ref="F15:I15" si="1">F14-E14</f>
        <v>659.6315044931489</v>
      </c>
      <c r="G15" s="61">
        <f t="shared" si="1"/>
        <v>611.1799285698653</v>
      </c>
      <c r="H15" s="61">
        <f t="shared" si="1"/>
        <v>532.66839279605483</v>
      </c>
      <c r="I15" s="61">
        <f t="shared" si="1"/>
        <v>446.41730859263589</v>
      </c>
    </row>
    <row r="17" spans="1:9">
      <c r="A17" t="s">
        <v>253</v>
      </c>
      <c r="D17" s="61"/>
      <c r="E17">
        <f>'Cash Flow Statement'!E16+'Cash Flow Statement'!E17+'Cash Flow Statement'!E18</f>
        <v>-61.808650684933127</v>
      </c>
      <c r="F17">
        <f>'Cash Flow Statement'!F16+'Cash Flow Statement'!F17+'Cash Flow Statement'!F18</f>
        <v>-659.63150449315071</v>
      </c>
      <c r="G17">
        <f>'Cash Flow Statement'!G16+'Cash Flow Statement'!G17+'Cash Flow Statement'!G18</f>
        <v>-611.17992856986439</v>
      </c>
      <c r="H17">
        <f>'Cash Flow Statement'!H16+'Cash Flow Statement'!H17+'Cash Flow Statement'!H18</f>
        <v>-532.66839279605483</v>
      </c>
      <c r="I17">
        <f>'Cash Flow Statement'!I16+'Cash Flow Statement'!I17+'Cash Flow Statement'!I18</f>
        <v>-446.41730859263771</v>
      </c>
    </row>
    <row r="18" spans="1:9">
      <c r="A18" t="s">
        <v>254</v>
      </c>
      <c r="D18" s="61"/>
      <c r="E18" s="61">
        <f>E15+E17</f>
        <v>9.0949470177292824E-13</v>
      </c>
      <c r="F18" s="61">
        <f t="shared" ref="F18:I18" si="2">F15+F17</f>
        <v>-1.8189894035458565E-12</v>
      </c>
      <c r="G18" s="61">
        <f t="shared" si="2"/>
        <v>9.0949470177292824E-13</v>
      </c>
      <c r="H18" s="85">
        <f t="shared" si="2"/>
        <v>0</v>
      </c>
      <c r="I18" s="61">
        <f t="shared" si="2"/>
        <v>-1.8189894035458565E-12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DF4A-AF0C-6842-AAC0-2905E5D21C34}">
  <dimension ref="A1:J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4" sqref="J24"/>
    </sheetView>
  </sheetViews>
  <sheetFormatPr baseColWidth="10" defaultRowHeight="16"/>
  <cols>
    <col min="1" max="1" width="36.6640625" bestFit="1" customWidth="1"/>
    <col min="4" max="4" width="11.5" bestFit="1" customWidth="1"/>
    <col min="5" max="5" width="11.6640625" bestFit="1" customWidth="1"/>
    <col min="6" max="10" width="10.83203125" customWidth="1"/>
  </cols>
  <sheetData>
    <row r="1" spans="1:10">
      <c r="A1" s="2" t="s">
        <v>259</v>
      </c>
    </row>
    <row r="2" spans="1:10">
      <c r="J2" t="str">
        <f>"Case: "&amp;Scenarios!$B$2</f>
        <v>Case: Base</v>
      </c>
    </row>
    <row r="3" spans="1:10">
      <c r="D3" t="s">
        <v>2</v>
      </c>
      <c r="E3" t="s">
        <v>172</v>
      </c>
      <c r="F3" t="s">
        <v>213</v>
      </c>
      <c r="G3" t="s">
        <v>214</v>
      </c>
      <c r="H3" t="s">
        <v>215</v>
      </c>
      <c r="I3" t="s">
        <v>228</v>
      </c>
    </row>
    <row r="4" spans="1:10">
      <c r="A4" t="s">
        <v>260</v>
      </c>
      <c r="E4" s="61">
        <f>D7</f>
        <v>46585</v>
      </c>
      <c r="F4" s="61">
        <f t="shared" ref="F4:I4" si="0">E7</f>
        <v>45335</v>
      </c>
      <c r="G4" s="61">
        <f t="shared" si="0"/>
        <v>43422</v>
      </c>
      <c r="H4" s="61">
        <f t="shared" si="0"/>
        <v>41835.5</v>
      </c>
      <c r="I4" s="61">
        <f t="shared" si="0"/>
        <v>40191.5</v>
      </c>
    </row>
    <row r="5" spans="1:10">
      <c r="A5" t="s">
        <v>261</v>
      </c>
      <c r="E5" s="61">
        <f>E6*Assumptions!E33</f>
        <v>1250</v>
      </c>
      <c r="F5" s="61">
        <f>F6*Assumptions!F33</f>
        <v>1913</v>
      </c>
      <c r="G5" s="61">
        <f>G6*Assumptions!G33</f>
        <v>1586.5</v>
      </c>
      <c r="H5" s="61">
        <f>H6*Assumptions!H33</f>
        <v>1644</v>
      </c>
      <c r="I5" s="61">
        <f>I6*Assumptions!I33</f>
        <v>1375</v>
      </c>
    </row>
    <row r="6" spans="1:10">
      <c r="A6" t="s">
        <v>262</v>
      </c>
      <c r="E6" s="61">
        <f>Assumptions!E32</f>
        <v>2500</v>
      </c>
      <c r="F6" s="61">
        <f>Assumptions!F32</f>
        <v>3826</v>
      </c>
      <c r="G6" s="61">
        <f>Assumptions!G32</f>
        <v>3173</v>
      </c>
      <c r="H6" s="61">
        <f>Assumptions!H32</f>
        <v>3288</v>
      </c>
      <c r="I6" s="61">
        <f>Assumptions!I32</f>
        <v>2750</v>
      </c>
    </row>
    <row r="7" spans="1:10">
      <c r="A7" t="s">
        <v>263</v>
      </c>
      <c r="D7" s="61">
        <f>'Balance Sheet'!D22+'Balance Sheet'!D27</f>
        <v>46585</v>
      </c>
      <c r="E7" s="61">
        <f>E4+E5-E6</f>
        <v>45335</v>
      </c>
      <c r="F7" s="61">
        <f t="shared" ref="F7:I7" si="1">F4+F5-F6</f>
        <v>43422</v>
      </c>
      <c r="G7" s="61">
        <f t="shared" si="1"/>
        <v>41835.5</v>
      </c>
      <c r="H7" s="61">
        <f t="shared" si="1"/>
        <v>40191.5</v>
      </c>
      <c r="I7" s="61">
        <f t="shared" si="1"/>
        <v>38816.5</v>
      </c>
    </row>
    <row r="9" spans="1:10">
      <c r="A9" t="s">
        <v>264</v>
      </c>
      <c r="D9" s="24">
        <v>46585</v>
      </c>
      <c r="E9" s="24"/>
      <c r="F9" s="24"/>
      <c r="G9" s="24"/>
      <c r="H9" s="24"/>
      <c r="I9" s="24"/>
    </row>
    <row r="10" spans="1:10">
      <c r="A10" t="s">
        <v>254</v>
      </c>
      <c r="D10">
        <f>D7-D9</f>
        <v>0</v>
      </c>
    </row>
    <row r="12" spans="1:10">
      <c r="A12" t="s">
        <v>265</v>
      </c>
      <c r="D12">
        <f>'Balance Sheet'!D22</f>
        <v>2499</v>
      </c>
      <c r="E12">
        <f>Assumptions!F32</f>
        <v>3826</v>
      </c>
      <c r="F12">
        <f>Assumptions!G32</f>
        <v>3173</v>
      </c>
      <c r="G12">
        <f>Assumptions!H32</f>
        <v>3288</v>
      </c>
      <c r="H12">
        <f>Assumptions!I32</f>
        <v>2750</v>
      </c>
      <c r="I12" s="27">
        <v>1750</v>
      </c>
    </row>
    <row r="13" spans="1:10">
      <c r="A13" t="s">
        <v>266</v>
      </c>
      <c r="D13">
        <f>'Balance Sheet'!D27</f>
        <v>44086</v>
      </c>
      <c r="E13" s="18">
        <f>E7-E12</f>
        <v>41509</v>
      </c>
      <c r="F13" s="18">
        <f t="shared" ref="F13:I13" si="2">F7-F12</f>
        <v>40249</v>
      </c>
      <c r="G13" s="18">
        <f t="shared" si="2"/>
        <v>38547.5</v>
      </c>
      <c r="H13" s="18">
        <f t="shared" si="2"/>
        <v>37441.5</v>
      </c>
      <c r="I13" s="18">
        <f t="shared" si="2"/>
        <v>37066.5</v>
      </c>
    </row>
    <row r="14" spans="1:10">
      <c r="A14" t="s">
        <v>254</v>
      </c>
      <c r="D14" s="18">
        <f>D12+D13-D7</f>
        <v>0</v>
      </c>
      <c r="E14" s="18">
        <f t="shared" ref="E14:I14" si="3">E12+E13-E7</f>
        <v>0</v>
      </c>
      <c r="F14" s="18">
        <f t="shared" si="3"/>
        <v>0</v>
      </c>
      <c r="G14" s="18">
        <f t="shared" si="3"/>
        <v>0</v>
      </c>
      <c r="H14" s="18">
        <f t="shared" si="3"/>
        <v>0</v>
      </c>
      <c r="I14" s="18">
        <f t="shared" si="3"/>
        <v>0</v>
      </c>
    </row>
    <row r="16" spans="1:10">
      <c r="A16" t="s">
        <v>270</v>
      </c>
      <c r="E16" s="18">
        <f>AVERAGE(E4, E7)</f>
        <v>45960</v>
      </c>
      <c r="F16" s="18">
        <f t="shared" ref="F16:H16" si="4">AVERAGE(F4, F7)</f>
        <v>44378.5</v>
      </c>
      <c r="G16" s="18">
        <f t="shared" si="4"/>
        <v>42628.75</v>
      </c>
      <c r="H16" s="18">
        <f t="shared" si="4"/>
        <v>41013.5</v>
      </c>
      <c r="I16" s="18">
        <f>AVERAGE(I4, I7)</f>
        <v>39504</v>
      </c>
    </row>
    <row r="17" spans="1:9">
      <c r="A17" t="s">
        <v>271</v>
      </c>
      <c r="E17" s="57">
        <f>E16*Assumptions!E35</f>
        <v>1149</v>
      </c>
      <c r="F17" s="57">
        <f>F16*Assumptions!F35</f>
        <v>1109.4625000000001</v>
      </c>
      <c r="G17" s="57">
        <f>G16*Assumptions!G35</f>
        <v>1065.71875</v>
      </c>
      <c r="H17" s="57">
        <f>H16*Assumptions!H35</f>
        <v>1025.3375000000001</v>
      </c>
      <c r="I17" s="57">
        <f>I16*Assumptions!I35</f>
        <v>987.6</v>
      </c>
    </row>
    <row r="18" spans="1:9">
      <c r="A18" t="s">
        <v>272</v>
      </c>
      <c r="E18" s="93">
        <f>'Balance Sheet'!D4+'Balance Sheet'!D5</f>
        <v>37416</v>
      </c>
      <c r="F18" s="93">
        <f>'Balance Sheet'!E4+'Balance Sheet'!E5</f>
        <v>37534.619359315067</v>
      </c>
      <c r="G18" s="93">
        <f>'Balance Sheet'!F4+'Balance Sheet'!F5</f>
        <v>38112.598429141624</v>
      </c>
      <c r="H18" s="93">
        <f>'Balance Sheet'!G4+'Balance Sheet'!G5</f>
        <v>42029.983258975073</v>
      </c>
      <c r="I18" s="93">
        <f>'Balance Sheet'!H4+'Balance Sheet'!H5</f>
        <v>48830.887396596954</v>
      </c>
    </row>
    <row r="19" spans="1:9">
      <c r="A19" t="s">
        <v>273</v>
      </c>
      <c r="E19" s="57">
        <f>E18*Assumptions!E34</f>
        <v>1403.1</v>
      </c>
      <c r="F19" s="57">
        <f>F18*Assumptions!F34</f>
        <v>1407.5482259743151</v>
      </c>
      <c r="G19" s="57">
        <f>G18*Assumptions!G34</f>
        <v>1429.2224410928109</v>
      </c>
      <c r="H19" s="57">
        <f>H18*Assumptions!H34</f>
        <v>1576.1243722115653</v>
      </c>
      <c r="I19" s="57">
        <f>I18*Assumptions!I34</f>
        <v>1831.1582773723858</v>
      </c>
    </row>
    <row r="20" spans="1:9">
      <c r="A20" t="s">
        <v>274</v>
      </c>
      <c r="E20" s="57">
        <f>E19-E17</f>
        <v>254.09999999999991</v>
      </c>
      <c r="F20" s="57">
        <f t="shared" ref="F20:I20" si="5">F19-F17</f>
        <v>298.08572597431498</v>
      </c>
      <c r="G20" s="57">
        <f t="shared" si="5"/>
        <v>363.50369109281087</v>
      </c>
      <c r="H20" s="57">
        <f t="shared" si="5"/>
        <v>550.7868722115652</v>
      </c>
      <c r="I20" s="57">
        <f t="shared" si="5"/>
        <v>843.55827737238576</v>
      </c>
    </row>
    <row r="23" spans="1:9">
      <c r="E23" s="18"/>
      <c r="F23" s="18"/>
      <c r="G23" s="18"/>
      <c r="H23" s="18"/>
      <c r="I23" s="18"/>
    </row>
    <row r="39" spans="5:9">
      <c r="E39" s="18"/>
      <c r="F39" s="18"/>
      <c r="G39" s="18"/>
      <c r="H39" s="18"/>
      <c r="I39" s="18"/>
    </row>
    <row r="40" spans="5:9">
      <c r="E40" s="18"/>
      <c r="F40" s="18"/>
      <c r="G40" s="18"/>
      <c r="H40" s="18"/>
      <c r="I40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7C22-EA44-F34B-A9B4-498BBA784C3F}">
  <dimension ref="A1:I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3" sqref="J23"/>
    </sheetView>
  </sheetViews>
  <sheetFormatPr baseColWidth="10" defaultRowHeight="16"/>
  <cols>
    <col min="1" max="1" width="40.6640625" bestFit="1" customWidth="1"/>
    <col min="5" max="9" width="10.83203125" customWidth="1"/>
  </cols>
  <sheetData>
    <row r="1" spans="1:9">
      <c r="A1" s="2" t="s">
        <v>281</v>
      </c>
      <c r="D1" t="s">
        <v>2</v>
      </c>
      <c r="E1" t="s">
        <v>158</v>
      </c>
      <c r="F1" t="s">
        <v>213</v>
      </c>
      <c r="G1" t="s">
        <v>214</v>
      </c>
      <c r="H1" t="s">
        <v>215</v>
      </c>
      <c r="I1" t="s">
        <v>216</v>
      </c>
    </row>
    <row r="3" spans="1:9">
      <c r="A3" t="s">
        <v>282</v>
      </c>
      <c r="E3" s="61">
        <f>'Income Statement'!E9+'Cash Flow Statement'!E6+'Cash Flow Statement'!E9</f>
        <v>10611.159</v>
      </c>
      <c r="F3" s="61">
        <f>'Income Statement'!F9+'Cash Flow Statement'!F6+'Cash Flow Statement'!F9</f>
        <v>14601.318019999997</v>
      </c>
      <c r="G3" s="61">
        <f>'Income Statement'!G9+'Cash Flow Statement'!G6+'Cash Flow Statement'!G9</f>
        <v>18111.952578999997</v>
      </c>
      <c r="H3" s="61">
        <f>'Income Statement'!H9+'Cash Flow Statement'!H6+'Cash Flow Statement'!H9</f>
        <v>20845.242423710002</v>
      </c>
      <c r="I3" s="61">
        <f>'Income Statement'!I9+'Cash Flow Statement'!I6+'Cash Flow Statement'!I9</f>
        <v>22234.1954261227</v>
      </c>
    </row>
    <row r="4" spans="1:9">
      <c r="A4" t="s">
        <v>283</v>
      </c>
      <c r="E4" s="61">
        <f>'Debt Schedule'!E7</f>
        <v>45335</v>
      </c>
      <c r="F4" s="61">
        <f>'Debt Schedule'!F7</f>
        <v>43422</v>
      </c>
      <c r="G4" s="61">
        <f>'Debt Schedule'!G7</f>
        <v>41835.5</v>
      </c>
      <c r="H4" s="61">
        <f>'Debt Schedule'!H7</f>
        <v>40191.5</v>
      </c>
      <c r="I4" s="61">
        <f>'Debt Schedule'!I7</f>
        <v>38816.5</v>
      </c>
    </row>
    <row r="5" spans="1:9">
      <c r="A5" t="s">
        <v>284</v>
      </c>
      <c r="E5" s="61">
        <f>'Balance Sheet'!E4+'Balance Sheet'!E5</f>
        <v>37534.619359315067</v>
      </c>
      <c r="F5" s="61">
        <f>'Balance Sheet'!F4+'Balance Sheet'!F5</f>
        <v>38112.598429141624</v>
      </c>
      <c r="G5" s="61">
        <f>'Balance Sheet'!G4+'Balance Sheet'!G5</f>
        <v>42029.983258975073</v>
      </c>
      <c r="H5" s="61">
        <f>'Balance Sheet'!H4+'Balance Sheet'!H5</f>
        <v>48830.887396596954</v>
      </c>
      <c r="I5" s="61">
        <f>'Balance Sheet'!I4+'Balance Sheet'!I5</f>
        <v>57396.045536338817</v>
      </c>
    </row>
    <row r="6" spans="1:9">
      <c r="A6" t="s">
        <v>285</v>
      </c>
      <c r="E6" s="18">
        <f>E4-E5</f>
        <v>7800.3806406849326</v>
      </c>
      <c r="F6" s="18">
        <f t="shared" ref="F6:I6" si="0">F4-F5</f>
        <v>5309.4015708583756</v>
      </c>
      <c r="G6" s="18">
        <f t="shared" si="0"/>
        <v>-194.48325897507311</v>
      </c>
      <c r="H6" s="18">
        <f t="shared" si="0"/>
        <v>-8639.3873965969542</v>
      </c>
      <c r="I6" s="18">
        <f t="shared" si="0"/>
        <v>-18579.545536338817</v>
      </c>
    </row>
    <row r="7" spans="1:9">
      <c r="A7" t="s">
        <v>231</v>
      </c>
      <c r="E7" s="61">
        <f>Payback!E6</f>
        <v>1368.6193593150674</v>
      </c>
      <c r="F7" s="61">
        <f>Payback!F6</f>
        <v>2490.9790698265533</v>
      </c>
      <c r="G7" s="61">
        <f>Payback!G6</f>
        <v>5503.8848298334506</v>
      </c>
      <c r="H7" s="61">
        <f>Payback!H6</f>
        <v>8444.9041376218793</v>
      </c>
      <c r="I7" s="61">
        <f>Payback!I6</f>
        <v>9940.1581397418631</v>
      </c>
    </row>
    <row r="9" spans="1:9">
      <c r="A9" t="s">
        <v>286</v>
      </c>
      <c r="E9" s="92">
        <f>E4/E3</f>
        <v>4.272389095291099</v>
      </c>
      <c r="F9" s="92">
        <f t="shared" ref="F9:I9" si="1">F4/F3</f>
        <v>2.9738411245151424</v>
      </c>
      <c r="G9" s="92">
        <f t="shared" si="1"/>
        <v>2.30982826492746</v>
      </c>
      <c r="H9" s="92">
        <f t="shared" si="1"/>
        <v>1.928089833787924</v>
      </c>
      <c r="I9" s="92">
        <f t="shared" si="1"/>
        <v>1.7458018721196873</v>
      </c>
    </row>
    <row r="10" spans="1:9">
      <c r="A10" t="s">
        <v>287</v>
      </c>
      <c r="E10" s="92">
        <f>E6/E3</f>
        <v>0.73511108830665273</v>
      </c>
      <c r="F10" s="92">
        <f t="shared" ref="F10:I10" si="2">F6/F3</f>
        <v>0.36362481548486791</v>
      </c>
      <c r="G10" s="92">
        <f t="shared" si="2"/>
        <v>-1.0737840557321677E-2</v>
      </c>
      <c r="H10" s="92">
        <f t="shared" si="2"/>
        <v>-0.41445367825371304</v>
      </c>
      <c r="I10" s="92">
        <f t="shared" si="2"/>
        <v>-0.83562931692639186</v>
      </c>
    </row>
    <row r="11" spans="1:9">
      <c r="A11" t="s">
        <v>288</v>
      </c>
      <c r="E11" s="92">
        <f>E3/'Debt Schedule'!E17</f>
        <v>9.2351253263707562</v>
      </c>
      <c r="F11" s="92">
        <f>F3/'Debt Schedule'!F17</f>
        <v>13.160713426546634</v>
      </c>
      <c r="G11" s="92">
        <f>G3/'Debt Schedule'!G17</f>
        <v>16.995058573380639</v>
      </c>
      <c r="H11" s="92">
        <f>H3/'Debt Schedule'!H17</f>
        <v>20.330127810316117</v>
      </c>
      <c r="I11" s="92">
        <f>I3/'Debt Schedule'!I17</f>
        <v>22.513361103809942</v>
      </c>
    </row>
    <row r="12" spans="1:9">
      <c r="A12" t="s">
        <v>289</v>
      </c>
      <c r="E12" s="62">
        <f>E7/E4</f>
        <v>3.0189023035514888E-2</v>
      </c>
      <c r="F12" s="62">
        <f t="shared" ref="F12:I12" si="3">F7/F4</f>
        <v>5.7366751182040286E-2</v>
      </c>
      <c r="G12" s="62">
        <f t="shared" si="3"/>
        <v>0.13156015417130071</v>
      </c>
      <c r="H12" s="62">
        <f t="shared" si="3"/>
        <v>0.21011666988347982</v>
      </c>
      <c r="I12" s="62">
        <f t="shared" si="3"/>
        <v>0.25608074246111479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E14C-47AC-F845-8D7C-13B2DCFC6425}">
  <dimension ref="A1:G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10" defaultRowHeight="16"/>
  <cols>
    <col min="1" max="1" width="75" bestFit="1" customWidth="1"/>
    <col min="2" max="2" width="12.5" bestFit="1" customWidth="1"/>
    <col min="3" max="6" width="11" bestFit="1" customWidth="1"/>
    <col min="7" max="7" width="11.5" bestFit="1" customWidth="1"/>
  </cols>
  <sheetData>
    <row r="1" spans="1:7">
      <c r="A1" s="2" t="s">
        <v>290</v>
      </c>
    </row>
    <row r="3" spans="1:7">
      <c r="A3" t="s">
        <v>291</v>
      </c>
      <c r="B3" s="82">
        <v>0</v>
      </c>
    </row>
    <row r="4" spans="1:7">
      <c r="A4" t="s">
        <v>292</v>
      </c>
      <c r="B4" s="82">
        <v>0</v>
      </c>
    </row>
    <row r="6" spans="1:7">
      <c r="A6" t="s">
        <v>293</v>
      </c>
    </row>
    <row r="8" spans="1:7">
      <c r="A8" t="s">
        <v>294</v>
      </c>
      <c r="B8" s="61">
        <f>'Income Statement'!I16</f>
        <v>8105.147000330202</v>
      </c>
      <c r="C8" s="84">
        <f>-2%</f>
        <v>-0.02</v>
      </c>
      <c r="D8" s="84">
        <v>-0.01</v>
      </c>
      <c r="E8" s="84">
        <v>0</v>
      </c>
      <c r="F8" s="84">
        <v>0.01</v>
      </c>
      <c r="G8" s="84">
        <v>0.02</v>
      </c>
    </row>
    <row r="9" spans="1:7">
      <c r="A9" t="s">
        <v>295</v>
      </c>
      <c r="B9" s="84">
        <v>-0.02</v>
      </c>
      <c r="C9" s="89">
        <f t="dataTable" ref="C9:G13" dt2D="1" dtr="1" r1="B3" r2="B4"/>
        <v>6106.599876494467</v>
      </c>
      <c r="D9" s="89">
        <v>6369.0154834877376</v>
      </c>
      <c r="E9" s="89">
        <v>6641.7234733183132</v>
      </c>
      <c r="F9" s="89">
        <v>6925.0166777557033</v>
      </c>
      <c r="G9" s="89">
        <v>7219.1933819364021</v>
      </c>
    </row>
    <row r="10" spans="1:7">
      <c r="B10" s="84">
        <v>-0.01</v>
      </c>
      <c r="C10" s="89">
        <v>6776.0962120423264</v>
      </c>
      <c r="D10" s="89">
        <v>7069.0612655350269</v>
      </c>
      <c r="E10" s="89">
        <v>7373.4352368242608</v>
      </c>
      <c r="F10" s="89">
        <v>7689.5415159132135</v>
      </c>
      <c r="G10" s="89">
        <v>8017.7095013866056</v>
      </c>
    </row>
    <row r="11" spans="1:7">
      <c r="B11" s="84">
        <v>0</v>
      </c>
      <c r="C11" s="89">
        <v>7445.5925475901859</v>
      </c>
      <c r="D11" s="89">
        <v>7769.1070475823208</v>
      </c>
      <c r="E11" s="91">
        <v>8105.147000330202</v>
      </c>
      <c r="F11" s="89">
        <v>8454.066354070721</v>
      </c>
      <c r="G11" s="89">
        <v>8816.225620836809</v>
      </c>
    </row>
    <row r="12" spans="1:7">
      <c r="B12" s="84">
        <v>0.01</v>
      </c>
      <c r="C12" s="89">
        <v>8115.0888831380453</v>
      </c>
      <c r="D12" s="89">
        <v>8469.1528296296165</v>
      </c>
      <c r="E12" s="89">
        <v>8836.8587638361496</v>
      </c>
      <c r="F12" s="89">
        <v>9218.5911922282321</v>
      </c>
      <c r="G12" s="89">
        <v>9614.7417402870124</v>
      </c>
    </row>
    <row r="13" spans="1:7">
      <c r="B13" s="84">
        <v>0.02</v>
      </c>
      <c r="C13" s="89">
        <v>8784.5852186859047</v>
      </c>
      <c r="D13" s="89">
        <v>9169.1986116769094</v>
      </c>
      <c r="E13" s="89">
        <v>9568.5705273420972</v>
      </c>
      <c r="F13" s="89">
        <v>9983.1160303857432</v>
      </c>
      <c r="G13" s="89">
        <v>10413.257859737216</v>
      </c>
    </row>
    <row r="15" spans="1:7" ht="17">
      <c r="G15" s="87"/>
    </row>
    <row r="16" spans="1:7">
      <c r="A16" t="s">
        <v>296</v>
      </c>
      <c r="G16" s="88"/>
    </row>
    <row r="18" spans="1:7">
      <c r="A18" t="s">
        <v>297</v>
      </c>
      <c r="B18">
        <f>'Credit Ratios'!F9</f>
        <v>2.9738411245151424</v>
      </c>
      <c r="C18" s="84">
        <v>-0.02</v>
      </c>
      <c r="D18" s="84">
        <v>-0.01</v>
      </c>
      <c r="E18" s="84">
        <v>0</v>
      </c>
      <c r="F18" s="84">
        <v>0.01</v>
      </c>
      <c r="G18" s="84">
        <v>0.02</v>
      </c>
    </row>
    <row r="19" spans="1:7">
      <c r="A19" t="s">
        <v>298</v>
      </c>
      <c r="B19" s="84">
        <v>-0.02</v>
      </c>
      <c r="C19" s="59">
        <f t="dataTable" ref="C19:G23" dt2D="1" dtr="1" r1="B3" r2="B4" ca="1"/>
        <v>3.3062455147952252</v>
      </c>
      <c r="D19" s="59">
        <v>3.2929405868035317</v>
      </c>
      <c r="E19" s="59">
        <v>3.2796506640162684</v>
      </c>
      <c r="F19" s="59">
        <v>3.2663766750945595</v>
      </c>
      <c r="G19" s="59">
        <v>3.2531195311275507</v>
      </c>
    </row>
    <row r="20" spans="1:7">
      <c r="B20" s="84">
        <v>-0.01</v>
      </c>
      <c r="C20" s="59">
        <v>3.1487375525208696</v>
      </c>
      <c r="D20" s="59">
        <v>3.1339875559758923</v>
      </c>
      <c r="E20" s="59">
        <v>3.1192685138187195</v>
      </c>
      <c r="F20" s="59">
        <v>3.1045814937426646</v>
      </c>
      <c r="G20" s="59">
        <v>3.0899275369958121</v>
      </c>
    </row>
    <row r="21" spans="1:7">
      <c r="B21" s="84">
        <v>0</v>
      </c>
      <c r="C21" s="59">
        <v>3.00555437308343</v>
      </c>
      <c r="D21" s="59">
        <v>2.9896734849819171</v>
      </c>
      <c r="E21" s="90">
        <v>2.9738411245151424</v>
      </c>
      <c r="F21" s="59">
        <v>2.9580584059758506</v>
      </c>
      <c r="G21" s="59">
        <v>2.9423264084814424</v>
      </c>
    </row>
    <row r="22" spans="1:7">
      <c r="B22" s="84">
        <v>0.01</v>
      </c>
      <c r="C22" s="59">
        <v>2.8748267930015801</v>
      </c>
      <c r="D22" s="59">
        <v>2.8580651094709437</v>
      </c>
      <c r="E22" s="59">
        <v>2.8413699958785541</v>
      </c>
      <c r="F22" s="59">
        <v>2.8247425311488006</v>
      </c>
      <c r="G22" s="59">
        <v>2.8081837511588823</v>
      </c>
    </row>
    <row r="23" spans="1:7">
      <c r="B23" s="84">
        <v>0.02</v>
      </c>
      <c r="C23" s="59">
        <v>2.7549972765819013</v>
      </c>
      <c r="D23" s="59">
        <v>2.7375552282830062</v>
      </c>
      <c r="E23" s="59">
        <v>2.7201975381366563</v>
      </c>
      <c r="F23" s="59">
        <v>2.7029251814866089</v>
      </c>
      <c r="G23" s="59">
        <v>2.6857390840508653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50E2-12FB-9749-9083-B05519A6E772}">
  <dimension ref="A1:I57"/>
  <sheetViews>
    <sheetView workbookViewId="0">
      <selection activeCell="J44" sqref="J44"/>
    </sheetView>
  </sheetViews>
  <sheetFormatPr baseColWidth="10" defaultRowHeight="16"/>
  <cols>
    <col min="1" max="1" width="48" bestFit="1" customWidth="1"/>
    <col min="2" max="2" width="10" bestFit="1" customWidth="1"/>
    <col min="3" max="3" width="22" bestFit="1" customWidth="1"/>
    <col min="5" max="9" width="12.1640625" bestFit="1" customWidth="1"/>
  </cols>
  <sheetData>
    <row r="1" spans="1:9">
      <c r="A1" s="2" t="s">
        <v>307</v>
      </c>
    </row>
    <row r="2" spans="1:9">
      <c r="E2" t="s">
        <v>172</v>
      </c>
      <c r="F2" t="s">
        <v>213</v>
      </c>
      <c r="G2" t="s">
        <v>214</v>
      </c>
      <c r="H2" t="s">
        <v>215</v>
      </c>
      <c r="I2" t="s">
        <v>228</v>
      </c>
    </row>
    <row r="3" spans="1:9">
      <c r="A3" t="s">
        <v>308</v>
      </c>
      <c r="E3" s="61">
        <f>'Income Statement'!E9</f>
        <v>-1784.3810000000012</v>
      </c>
      <c r="F3" s="61">
        <f>'Income Statement'!F9</f>
        <v>2244.1065199999975</v>
      </c>
      <c r="G3" s="61">
        <f>'Income Statement'!G9</f>
        <v>5739.3917359999978</v>
      </c>
      <c r="H3" s="61">
        <f>'Income Statement'!H9</f>
        <v>8395.9970915200029</v>
      </c>
      <c r="I3" s="61">
        <f>'Income Statement'!I9</f>
        <v>9787.0075458304018</v>
      </c>
    </row>
    <row r="4" spans="1:9">
      <c r="A4" t="s">
        <v>309</v>
      </c>
      <c r="E4" s="84">
        <f>Assumptions!E9</f>
        <v>0.21</v>
      </c>
      <c r="F4" s="84">
        <f>Assumptions!F9</f>
        <v>0.21</v>
      </c>
      <c r="G4" s="84">
        <f>Assumptions!G9</f>
        <v>0.21</v>
      </c>
      <c r="H4" s="84">
        <f>Assumptions!H9</f>
        <v>0.21</v>
      </c>
      <c r="I4" s="84">
        <f>Assumptions!I9</f>
        <v>0.21</v>
      </c>
    </row>
    <row r="5" spans="1:9">
      <c r="A5" t="s">
        <v>310</v>
      </c>
      <c r="E5" s="61">
        <f>-E3*E4</f>
        <v>374.72001000000023</v>
      </c>
      <c r="F5" s="61">
        <f t="shared" ref="F5:I5" si="0">-F3*F4</f>
        <v>-471.26236919999945</v>
      </c>
      <c r="G5" s="61">
        <f t="shared" si="0"/>
        <v>-1205.2722645599995</v>
      </c>
      <c r="H5" s="61">
        <f t="shared" si="0"/>
        <v>-1763.1593892192006</v>
      </c>
      <c r="I5" s="61">
        <f t="shared" si="0"/>
        <v>-2055.2715846243841</v>
      </c>
    </row>
    <row r="6" spans="1:9">
      <c r="A6" t="s">
        <v>311</v>
      </c>
      <c r="E6" s="61">
        <f>E3+E5</f>
        <v>-1409.660990000001</v>
      </c>
      <c r="F6" s="61">
        <f t="shared" ref="F6:I6" si="1">F3+F5</f>
        <v>1772.844150799998</v>
      </c>
      <c r="G6" s="61">
        <f t="shared" si="1"/>
        <v>4534.1194714399981</v>
      </c>
      <c r="H6" s="61">
        <f t="shared" si="1"/>
        <v>6632.8377023008024</v>
      </c>
      <c r="I6" s="61">
        <f t="shared" si="1"/>
        <v>7731.7359612060172</v>
      </c>
    </row>
    <row r="7" spans="1:9">
      <c r="A7" t="s">
        <v>312</v>
      </c>
      <c r="E7" s="61">
        <f>'Cash Flow Statement'!E6</f>
        <v>11595.54</v>
      </c>
      <c r="F7" s="61">
        <f>'Cash Flow Statement'!F6</f>
        <v>11657.211499999999</v>
      </c>
      <c r="G7" s="61">
        <f>'Cash Flow Statement'!G6</f>
        <v>11872.560842999999</v>
      </c>
      <c r="H7" s="61">
        <f>'Cash Flow Statement'!H6</f>
        <v>12049.245332189999</v>
      </c>
      <c r="I7" s="61">
        <f>'Cash Flow Statement'!I6</f>
        <v>12147.1878802923</v>
      </c>
    </row>
    <row r="8" spans="1:9">
      <c r="A8" t="s">
        <v>313</v>
      </c>
      <c r="E8" s="61">
        <f>'Cash Flow Statement'!E9</f>
        <v>800</v>
      </c>
      <c r="F8" s="61">
        <f>'Cash Flow Statement'!F9</f>
        <v>700</v>
      </c>
      <c r="G8" s="61">
        <f>'Cash Flow Statement'!G9</f>
        <v>500</v>
      </c>
      <c r="H8" s="61">
        <f>'Cash Flow Statement'!H9</f>
        <v>400</v>
      </c>
      <c r="I8" s="61">
        <f>'Cash Flow Statement'!I9</f>
        <v>300</v>
      </c>
    </row>
    <row r="9" spans="1:9">
      <c r="A9" t="s">
        <v>314</v>
      </c>
      <c r="E9" s="61">
        <f>'Cash Flow Statement'!E25</f>
        <v>-12156.19</v>
      </c>
      <c r="F9" s="61">
        <f>'Cash Flow Statement'!F25</f>
        <v>-13614.932800000002</v>
      </c>
      <c r="G9" s="61">
        <f>'Cash Flow Statement'!G25</f>
        <v>-13478.783472000001</v>
      </c>
      <c r="H9" s="61">
        <f>'Cash Flow Statement'!H25</f>
        <v>-12939.632133120003</v>
      </c>
      <c r="I9" s="61">
        <f>'Cash Flow Statement'!I25</f>
        <v>-12858.759432288003</v>
      </c>
    </row>
    <row r="10" spans="1:9">
      <c r="A10" t="s">
        <v>315</v>
      </c>
      <c r="E10" s="61">
        <f>'Working Capital'!E17</f>
        <v>-61.808650684933127</v>
      </c>
      <c r="F10" s="61">
        <f>'Working Capital'!F17</f>
        <v>-659.63150449315071</v>
      </c>
      <c r="G10" s="61">
        <f>'Working Capital'!G17</f>
        <v>-611.17992856986439</v>
      </c>
      <c r="H10" s="61">
        <f>'Working Capital'!H17</f>
        <v>-532.66839279605483</v>
      </c>
      <c r="I10" s="61">
        <f>'Working Capital'!I17</f>
        <v>-446.41730859263771</v>
      </c>
    </row>
    <row r="11" spans="1:9">
      <c r="A11" t="s">
        <v>316</v>
      </c>
      <c r="E11" s="61">
        <f>E6+E7+E8+E9+E10</f>
        <v>-1232.1196406849331</v>
      </c>
      <c r="F11" s="61">
        <f t="shared" ref="F11:I11" si="2">F6+F7+F8+F9+F10</f>
        <v>-144.50865369315579</v>
      </c>
      <c r="G11" s="61">
        <f t="shared" si="2"/>
        <v>2816.7169138701311</v>
      </c>
      <c r="H11" s="61">
        <f t="shared" si="2"/>
        <v>5609.7825085747445</v>
      </c>
      <c r="I11" s="61">
        <f t="shared" si="2"/>
        <v>6873.7471006176784</v>
      </c>
    </row>
    <row r="14" spans="1:9">
      <c r="A14" s="2" t="s">
        <v>317</v>
      </c>
    </row>
    <row r="15" spans="1:9" ht="17">
      <c r="A15" t="s">
        <v>318</v>
      </c>
      <c r="B15" s="97">
        <v>5.1299999999999998E-2</v>
      </c>
      <c r="C15" t="s">
        <v>350</v>
      </c>
      <c r="D15" s="58"/>
    </row>
    <row r="16" spans="1:9">
      <c r="A16" t="s">
        <v>319</v>
      </c>
      <c r="B16" s="86">
        <v>0.05</v>
      </c>
      <c r="C16" t="s">
        <v>351</v>
      </c>
    </row>
    <row r="17" spans="1:4">
      <c r="A17" t="s">
        <v>320</v>
      </c>
      <c r="B17" s="27">
        <v>2.23</v>
      </c>
      <c r="C17" t="s">
        <v>352</v>
      </c>
    </row>
    <row r="18" spans="1:4">
      <c r="A18" t="s">
        <v>321</v>
      </c>
      <c r="B18" s="98">
        <f>B15+B17*B16</f>
        <v>0.1628</v>
      </c>
    </row>
    <row r="19" spans="1:4">
      <c r="A19" t="s">
        <v>322</v>
      </c>
      <c r="B19" s="63">
        <v>7.0000000000000007E-2</v>
      </c>
      <c r="C19" t="s">
        <v>353</v>
      </c>
    </row>
    <row r="20" spans="1:4">
      <c r="A20" t="s">
        <v>309</v>
      </c>
      <c r="B20" s="84">
        <f>Assumptions!E9</f>
        <v>0.21</v>
      </c>
    </row>
    <row r="21" spans="1:4">
      <c r="A21" t="s">
        <v>323</v>
      </c>
      <c r="B21" s="96">
        <f>B19*(1-B20)</f>
        <v>5.5300000000000009E-2</v>
      </c>
    </row>
    <row r="22" spans="1:4" ht="17">
      <c r="A22" t="s">
        <v>324</v>
      </c>
      <c r="B22" s="44">
        <v>91.69</v>
      </c>
      <c r="C22" t="s">
        <v>354</v>
      </c>
      <c r="D22" s="58"/>
    </row>
    <row r="23" spans="1:4">
      <c r="A23" t="s">
        <v>325</v>
      </c>
      <c r="B23" s="93">
        <f>'Share Count'!D8</f>
        <v>4994</v>
      </c>
    </row>
    <row r="24" spans="1:4">
      <c r="A24" t="s">
        <v>326</v>
      </c>
      <c r="B24" s="61">
        <f>B22*B23</f>
        <v>457899.86</v>
      </c>
    </row>
    <row r="25" spans="1:4">
      <c r="A25" t="s">
        <v>283</v>
      </c>
      <c r="B25" s="61">
        <f>'Debt Schedule'!D7</f>
        <v>46585</v>
      </c>
    </row>
    <row r="26" spans="1:4">
      <c r="A26" t="s">
        <v>327</v>
      </c>
      <c r="B26" s="84">
        <f>B24/(B24+B25)</f>
        <v>0.90765827937829491</v>
      </c>
    </row>
    <row r="27" spans="1:4">
      <c r="A27" t="s">
        <v>328</v>
      </c>
      <c r="B27" s="84">
        <f>B25/(B24+B25)</f>
        <v>9.2341720621705078E-2</v>
      </c>
    </row>
    <row r="28" spans="1:4">
      <c r="A28" t="s">
        <v>329</v>
      </c>
      <c r="B28" s="84">
        <f>B26*B18+B27*B21</f>
        <v>0.1528732650331667</v>
      </c>
    </row>
    <row r="29" spans="1:4">
      <c r="A29" t="s">
        <v>346</v>
      </c>
      <c r="B29" s="86">
        <v>0</v>
      </c>
    </row>
    <row r="30" spans="1:4">
      <c r="A30" s="1" t="s">
        <v>330</v>
      </c>
    </row>
    <row r="31" spans="1:4">
      <c r="A31" t="s">
        <v>331</v>
      </c>
      <c r="B31" s="54">
        <v>0.03</v>
      </c>
    </row>
    <row r="32" spans="1:4">
      <c r="A32" t="s">
        <v>347</v>
      </c>
      <c r="B32" s="100">
        <f>B28+B29</f>
        <v>0.1528732650331667</v>
      </c>
    </row>
    <row r="33" spans="1:9">
      <c r="A33" t="s">
        <v>332</v>
      </c>
      <c r="E33">
        <v>1</v>
      </c>
      <c r="F33">
        <f>E33+1</f>
        <v>2</v>
      </c>
      <c r="G33">
        <f t="shared" ref="G33:I33" si="3">F33+1</f>
        <v>3</v>
      </c>
      <c r="H33">
        <f t="shared" si="3"/>
        <v>4</v>
      </c>
      <c r="I33">
        <f t="shared" si="3"/>
        <v>5</v>
      </c>
    </row>
    <row r="34" spans="1:9">
      <c r="A34" t="s">
        <v>333</v>
      </c>
      <c r="E34">
        <f>1/(1+$B$32)^E33</f>
        <v>0.86739803092860446</v>
      </c>
      <c r="F34">
        <f t="shared" ref="F34:I34" si="4">1/(1+$B$32)^F33</f>
        <v>0.75237934405882023</v>
      </c>
      <c r="G34">
        <f t="shared" si="4"/>
        <v>0.65261236154797564</v>
      </c>
      <c r="H34">
        <f t="shared" si="4"/>
        <v>0.56607467736638051</v>
      </c>
      <c r="I34">
        <f t="shared" si="4"/>
        <v>0.49101206050614349</v>
      </c>
    </row>
    <row r="35" spans="1:9">
      <c r="A35" t="s">
        <v>334</v>
      </c>
      <c r="E35" s="18">
        <f>E11*E34</f>
        <v>-1068.7381501985706</v>
      </c>
      <c r="F35" s="18">
        <f t="shared" ref="F35:I35" si="5">F11*F34</f>
        <v>-108.72532607647976</v>
      </c>
      <c r="G35" s="18">
        <f t="shared" si="5"/>
        <v>1838.2242769729121</v>
      </c>
      <c r="H35" s="18">
        <f t="shared" si="5"/>
        <v>3175.555823637013</v>
      </c>
      <c r="I35" s="18">
        <f t="shared" si="5"/>
        <v>3375.0927272724157</v>
      </c>
    </row>
    <row r="36" spans="1:9">
      <c r="E36" s="18"/>
      <c r="F36" s="18"/>
      <c r="G36" s="18"/>
      <c r="H36" s="18"/>
      <c r="I36" s="18"/>
    </row>
    <row r="37" spans="1:9">
      <c r="A37" t="s">
        <v>335</v>
      </c>
      <c r="B37" s="18">
        <f>SUM(E35:I35)</f>
        <v>7211.4093516072899</v>
      </c>
      <c r="F37" s="18"/>
      <c r="G37" s="18"/>
      <c r="H37" s="18"/>
      <c r="I37" s="18"/>
    </row>
    <row r="38" spans="1:9">
      <c r="A38" t="s">
        <v>336</v>
      </c>
      <c r="B38" s="18">
        <f>I11*(1+B31)/(B32-B31)</f>
        <v>57620.016133901401</v>
      </c>
      <c r="F38" s="99"/>
      <c r="G38" s="99"/>
      <c r="H38" s="99"/>
      <c r="I38" s="99"/>
    </row>
    <row r="39" spans="1:9">
      <c r="A39" t="s">
        <v>337</v>
      </c>
      <c r="B39" s="18">
        <f>B38*I34</f>
        <v>28292.12284830416</v>
      </c>
    </row>
    <row r="40" spans="1:9">
      <c r="A40" t="s">
        <v>338</v>
      </c>
      <c r="B40" s="18">
        <f>B37+B39</f>
        <v>35503.532199911453</v>
      </c>
    </row>
    <row r="41" spans="1:9">
      <c r="A41" t="s">
        <v>339</v>
      </c>
      <c r="B41" s="18">
        <f>B25</f>
        <v>46585</v>
      </c>
      <c r="E41" s="18"/>
    </row>
    <row r="42" spans="1:9">
      <c r="A42" t="s">
        <v>340</v>
      </c>
      <c r="B42" s="61">
        <f>'Balance Sheet'!D4+'Balance Sheet'!D5</f>
        <v>37416</v>
      </c>
      <c r="E42" s="61"/>
    </row>
    <row r="43" spans="1:9">
      <c r="A43" t="s">
        <v>341</v>
      </c>
      <c r="B43" s="18">
        <f>B40-B41+B42</f>
        <v>26334.532199911453</v>
      </c>
    </row>
    <row r="44" spans="1:9">
      <c r="A44" t="s">
        <v>325</v>
      </c>
      <c r="B44" s="57">
        <f>B23</f>
        <v>4994</v>
      </c>
      <c r="E44" s="57"/>
    </row>
    <row r="45" spans="1:9">
      <c r="A45" t="s">
        <v>342</v>
      </c>
      <c r="B45" s="99">
        <f>B43/B44</f>
        <v>5.273234321167692</v>
      </c>
    </row>
    <row r="46" spans="1:9">
      <c r="A46" t="s">
        <v>343</v>
      </c>
      <c r="B46" s="85">
        <f>B22</f>
        <v>91.69</v>
      </c>
      <c r="E46" s="99"/>
    </row>
    <row r="47" spans="1:9">
      <c r="A47" t="s">
        <v>344</v>
      </c>
      <c r="B47" s="62">
        <f>B45/B46-1</f>
        <v>-0.94248844670991716</v>
      </c>
    </row>
    <row r="48" spans="1:9">
      <c r="A48" t="s">
        <v>345</v>
      </c>
      <c r="B48" s="62">
        <f>B39/B40</f>
        <v>0.79688191836796229</v>
      </c>
    </row>
    <row r="51" spans="1:7">
      <c r="A51" t="s">
        <v>348</v>
      </c>
    </row>
    <row r="52" spans="1:7">
      <c r="A52" t="s">
        <v>349</v>
      </c>
      <c r="B52" s="99">
        <f>B45</f>
        <v>5.273234321167692</v>
      </c>
      <c r="C52" s="98">
        <v>0.02</v>
      </c>
      <c r="D52" s="98">
        <v>2.5000000000000001E-2</v>
      </c>
      <c r="E52" s="98">
        <v>0.03</v>
      </c>
      <c r="F52" s="98">
        <v>3.5000000000000003E-2</v>
      </c>
      <c r="G52" s="98">
        <v>0.04</v>
      </c>
    </row>
    <row r="53" spans="1:7">
      <c r="B53" s="81">
        <v>-0.06</v>
      </c>
      <c r="C53" s="59">
        <f t="dataTable" ref="C53:G57" dt2D="1" dtr="1" r1="B31" r2="B29" ca="1"/>
        <v>12.373850758786991</v>
      </c>
      <c r="D53" s="59">
        <v>13.349219512013647</v>
      </c>
      <c r="E53" s="59">
        <v>14.479720777081734</v>
      </c>
      <c r="F53" s="59">
        <v>15.805562889848696</v>
      </c>
      <c r="G53" s="59">
        <v>17.382163512031578</v>
      </c>
    </row>
    <row r="54" spans="1:7">
      <c r="B54" s="81">
        <v>-0.04</v>
      </c>
      <c r="C54" s="59">
        <v>8.7225983733485126</v>
      </c>
      <c r="D54" s="59">
        <v>9.2723730114543752</v>
      </c>
      <c r="E54" s="59">
        <v>9.8884868529071639</v>
      </c>
      <c r="F54" s="59">
        <v>10.583718199088999</v>
      </c>
      <c r="G54" s="59">
        <v>11.374352344344732</v>
      </c>
    </row>
    <row r="55" spans="1:7">
      <c r="B55" s="81">
        <v>-0.02</v>
      </c>
      <c r="C55" s="59">
        <v>6.3969316714531193</v>
      </c>
      <c r="D55" s="59">
        <v>6.7400822951168147</v>
      </c>
      <c r="E55" s="90">
        <v>7.1165895565379556</v>
      </c>
      <c r="F55" s="59">
        <v>7.5315656747294879</v>
      </c>
      <c r="G55" s="59">
        <v>7.991223770887804</v>
      </c>
    </row>
    <row r="56" spans="1:7">
      <c r="B56" s="81">
        <v>0</v>
      </c>
      <c r="C56" s="59">
        <v>4.7960087200367134</v>
      </c>
      <c r="D56" s="59">
        <v>5.0252914702393054</v>
      </c>
      <c r="E56" s="59">
        <v>5.273234321167692</v>
      </c>
      <c r="F56" s="59">
        <v>5.5422118699012675</v>
      </c>
      <c r="G56" s="59">
        <v>5.8350194680849556</v>
      </c>
    </row>
    <row r="57" spans="1:7">
      <c r="B57" s="81">
        <v>0.02</v>
      </c>
      <c r="C57" s="59">
        <v>3.6336135836014858</v>
      </c>
      <c r="D57" s="59">
        <v>3.7944889187901056</v>
      </c>
      <c r="E57" s="59">
        <v>3.9666242566917087</v>
      </c>
      <c r="F57" s="59">
        <v>4.1512446356823283</v>
      </c>
      <c r="G57" s="59">
        <v>4.3497594861412718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25D-BB09-4944-AD7F-9A26CF4AFFAC}">
  <dimension ref="A1:N21"/>
  <sheetViews>
    <sheetView workbookViewId="0">
      <selection activeCell="I4" sqref="I4"/>
    </sheetView>
  </sheetViews>
  <sheetFormatPr baseColWidth="10" defaultRowHeight="16"/>
  <cols>
    <col min="1" max="1" width="42.6640625" bestFit="1" customWidth="1"/>
    <col min="2" max="2" width="14.5" customWidth="1"/>
    <col min="3" max="3" width="18.6640625" bestFit="1" customWidth="1"/>
    <col min="4" max="4" width="21" bestFit="1" customWidth="1"/>
    <col min="5" max="5" width="18.83203125" bestFit="1" customWidth="1"/>
    <col min="6" max="6" width="11.5" bestFit="1" customWidth="1"/>
    <col min="7" max="7" width="28.6640625" bestFit="1" customWidth="1"/>
    <col min="8" max="8" width="20.1640625" bestFit="1" customWidth="1"/>
    <col min="9" max="9" width="24.6640625" bestFit="1" customWidth="1"/>
    <col min="10" max="10" width="23.5" bestFit="1" customWidth="1"/>
    <col min="11" max="11" width="27.1640625" bestFit="1" customWidth="1"/>
    <col min="12" max="12" width="11.83203125" bestFit="1" customWidth="1"/>
    <col min="13" max="13" width="10.6640625" bestFit="1" customWidth="1"/>
    <col min="14" max="14" width="8.83203125" customWidth="1"/>
  </cols>
  <sheetData>
    <row r="1" spans="1:14">
      <c r="A1" s="2" t="s">
        <v>366</v>
      </c>
      <c r="B1" t="s">
        <v>379</v>
      </c>
    </row>
    <row r="3" spans="1:14">
      <c r="A3" s="2" t="s">
        <v>355</v>
      </c>
      <c r="B3" s="2" t="s">
        <v>356</v>
      </c>
      <c r="C3" s="2" t="s">
        <v>357</v>
      </c>
      <c r="D3" s="2" t="s">
        <v>358</v>
      </c>
      <c r="E3" s="2" t="s">
        <v>359</v>
      </c>
      <c r="F3" s="2" t="s">
        <v>283</v>
      </c>
      <c r="G3" s="2" t="s">
        <v>284</v>
      </c>
      <c r="H3" s="2" t="s">
        <v>338</v>
      </c>
      <c r="I3" s="2" t="s">
        <v>360</v>
      </c>
      <c r="J3" s="2" t="s">
        <v>361</v>
      </c>
      <c r="K3" s="2" t="s">
        <v>362</v>
      </c>
      <c r="L3" s="2" t="s">
        <v>363</v>
      </c>
      <c r="M3" s="2" t="s">
        <v>364</v>
      </c>
      <c r="N3" s="2" t="s">
        <v>365</v>
      </c>
    </row>
    <row r="4" spans="1:14">
      <c r="A4" t="s">
        <v>369</v>
      </c>
      <c r="B4" t="s">
        <v>367</v>
      </c>
      <c r="C4" s="44">
        <v>552.71</v>
      </c>
      <c r="D4" s="101">
        <v>1649.5</v>
      </c>
      <c r="E4" s="99">
        <f>C4*D4</f>
        <v>911695.14500000002</v>
      </c>
      <c r="F4" s="24">
        <v>4280</v>
      </c>
      <c r="G4" s="24">
        <v>13110</v>
      </c>
      <c r="H4" s="18">
        <f>E4+F4-G4</f>
        <v>902865.14500000002</v>
      </c>
      <c r="I4" s="24">
        <v>41310</v>
      </c>
      <c r="J4" s="24">
        <v>9560</v>
      </c>
      <c r="K4" s="24">
        <v>6470</v>
      </c>
      <c r="L4" s="92">
        <f>H4/I4</f>
        <v>21.855849552166546</v>
      </c>
      <c r="M4" s="92">
        <f>H4/J4</f>
        <v>94.441960774058586</v>
      </c>
      <c r="N4" s="92">
        <f>IF(K4&gt;0,E4/K4,"n/m")</f>
        <v>140.91115069551779</v>
      </c>
    </row>
    <row r="5" spans="1:14">
      <c r="A5" t="s">
        <v>370</v>
      </c>
      <c r="B5" t="s">
        <v>371</v>
      </c>
      <c r="C5" s="44">
        <v>221.97</v>
      </c>
      <c r="D5" s="102">
        <v>24397.5</v>
      </c>
      <c r="E5" s="99">
        <f>C5*D5</f>
        <v>5415513.0750000002</v>
      </c>
      <c r="F5" s="24">
        <v>38860</v>
      </c>
      <c r="G5" s="24">
        <v>62470</v>
      </c>
      <c r="H5" s="18">
        <f t="shared" ref="H5:H9" si="0">E5+F5-G5</f>
        <v>5391903.0750000002</v>
      </c>
      <c r="I5" s="24">
        <v>302970</v>
      </c>
      <c r="J5" s="24">
        <v>201270</v>
      </c>
      <c r="K5" s="24">
        <v>192880</v>
      </c>
      <c r="L5" s="92">
        <f t="shared" ref="L5:L9" si="1">H5/I5</f>
        <v>17.796821715021292</v>
      </c>
      <c r="M5" s="92">
        <f t="shared" ref="M5:M9" si="2">H5/J5</f>
        <v>26.789402668057832</v>
      </c>
      <c r="N5" s="92">
        <f t="shared" ref="N5:N9" si="3">IF(K5&gt;0,E5/K5,"n/m")</f>
        <v>28.077110509124847</v>
      </c>
    </row>
    <row r="6" spans="1:14">
      <c r="A6" t="s">
        <v>373</v>
      </c>
      <c r="B6" t="s">
        <v>372</v>
      </c>
      <c r="C6" s="44">
        <v>177.96</v>
      </c>
      <c r="D6" s="103">
        <v>1067.5</v>
      </c>
      <c r="E6" s="99">
        <f t="shared" ref="E6:E9" si="4">C6*D6</f>
        <v>189972.30000000002</v>
      </c>
      <c r="F6" s="24">
        <v>1527</v>
      </c>
      <c r="G6" s="24">
        <v>830</v>
      </c>
      <c r="H6" s="18">
        <f t="shared" si="0"/>
        <v>190669.30000000002</v>
      </c>
      <c r="I6" s="24">
        <v>44070</v>
      </c>
      <c r="J6" s="24">
        <v>12000</v>
      </c>
      <c r="K6" s="24">
        <v>9260</v>
      </c>
      <c r="L6" s="92">
        <f t="shared" si="1"/>
        <v>4.3265100975720445</v>
      </c>
      <c r="M6" s="92">
        <f t="shared" si="2"/>
        <v>15.889108333333334</v>
      </c>
      <c r="N6" s="92">
        <f t="shared" si="3"/>
        <v>20.515367170626352</v>
      </c>
    </row>
    <row r="7" spans="1:14">
      <c r="A7" t="s">
        <v>368</v>
      </c>
      <c r="B7" t="s">
        <v>374</v>
      </c>
      <c r="C7" s="44">
        <v>337.8</v>
      </c>
      <c r="D7" s="102">
        <v>4885.25</v>
      </c>
      <c r="E7" s="99">
        <f t="shared" si="4"/>
        <v>1650237.45</v>
      </c>
      <c r="F7" s="24">
        <v>5942</v>
      </c>
      <c r="G7" s="24">
        <v>2398</v>
      </c>
      <c r="H7" s="18">
        <f t="shared" si="0"/>
        <v>1653781.45</v>
      </c>
      <c r="I7" s="24">
        <v>89100</v>
      </c>
      <c r="J7" s="24">
        <v>52260</v>
      </c>
      <c r="K7" s="24">
        <v>38260</v>
      </c>
      <c r="L7" s="92">
        <f t="shared" si="1"/>
        <v>18.560959034792369</v>
      </c>
      <c r="M7" s="92">
        <f t="shared" si="2"/>
        <v>31.645263107539225</v>
      </c>
      <c r="N7" s="92">
        <f t="shared" si="3"/>
        <v>43.1321863565081</v>
      </c>
    </row>
    <row r="8" spans="1:14">
      <c r="A8" t="s">
        <v>375</v>
      </c>
      <c r="B8" t="s">
        <v>376</v>
      </c>
      <c r="C8" s="44">
        <v>284.64999999999998</v>
      </c>
      <c r="D8" s="27">
        <v>914.5</v>
      </c>
      <c r="E8" s="99">
        <f t="shared" si="4"/>
        <v>260312.42499999999</v>
      </c>
      <c r="F8" s="24">
        <v>1405</v>
      </c>
      <c r="G8" s="24">
        <v>700</v>
      </c>
      <c r="H8" s="18">
        <f t="shared" si="0"/>
        <v>261017.42499999999</v>
      </c>
      <c r="I8" s="24">
        <v>19450</v>
      </c>
      <c r="J8" s="24">
        <v>9520</v>
      </c>
      <c r="K8" s="24">
        <v>6020</v>
      </c>
      <c r="L8" s="92">
        <f t="shared" si="1"/>
        <v>13.419919023136247</v>
      </c>
      <c r="M8" s="92">
        <f t="shared" si="2"/>
        <v>27.417796743697476</v>
      </c>
      <c r="N8" s="92">
        <f t="shared" si="3"/>
        <v>43.241266611295679</v>
      </c>
    </row>
    <row r="9" spans="1:14">
      <c r="A9" t="s">
        <v>377</v>
      </c>
      <c r="B9" t="s">
        <v>378</v>
      </c>
      <c r="C9" s="44">
        <v>913.67</v>
      </c>
      <c r="D9" s="102">
        <v>1139.25</v>
      </c>
      <c r="E9" s="99">
        <f t="shared" si="4"/>
        <v>1040898.5475</v>
      </c>
      <c r="F9" s="24">
        <v>5180</v>
      </c>
      <c r="G9" s="24">
        <v>43430</v>
      </c>
      <c r="H9" s="18">
        <f t="shared" si="0"/>
        <v>1002648.5475</v>
      </c>
      <c r="I9" s="24">
        <v>133190</v>
      </c>
      <c r="J9" s="24">
        <v>108840</v>
      </c>
      <c r="K9" s="24">
        <v>84970</v>
      </c>
      <c r="L9" s="92">
        <f t="shared" si="1"/>
        <v>7.5279566596591332</v>
      </c>
      <c r="M9" s="92">
        <f t="shared" si="2"/>
        <v>9.2121329244762951</v>
      </c>
      <c r="N9" s="92">
        <f t="shared" si="3"/>
        <v>12.25018886077439</v>
      </c>
    </row>
    <row r="10" spans="1:14">
      <c r="L10" s="92"/>
      <c r="M10" s="92"/>
      <c r="N10" s="92"/>
    </row>
    <row r="11" spans="1:14">
      <c r="A11" t="s">
        <v>380</v>
      </c>
      <c r="L11" s="92">
        <f>MEDIAN(L4:L9)</f>
        <v>15.60837036907877</v>
      </c>
      <c r="M11" s="92">
        <f t="shared" ref="M11:N11" si="5">MEDIAN(M4:M9)</f>
        <v>27.103599705877656</v>
      </c>
      <c r="N11" s="92">
        <f t="shared" si="5"/>
        <v>35.604648432816475</v>
      </c>
    </row>
    <row r="12" spans="1:14">
      <c r="A12" t="s">
        <v>381</v>
      </c>
      <c r="L12" s="92">
        <f>AVERAGE(L4:L9)</f>
        <v>13.91466934705794</v>
      </c>
      <c r="M12" s="92">
        <f t="shared" ref="M12:N12" si="6">AVERAGE(M4:M9)</f>
        <v>34.232610758527123</v>
      </c>
      <c r="N12" s="92">
        <f t="shared" si="6"/>
        <v>48.021211700641196</v>
      </c>
    </row>
    <row r="13" spans="1:14">
      <c r="L13" s="92"/>
      <c r="M13" s="92"/>
      <c r="N13" s="92"/>
    </row>
    <row r="14" spans="1:14">
      <c r="A14" t="s">
        <v>382</v>
      </c>
      <c r="B14" t="s">
        <v>383</v>
      </c>
      <c r="C14" s="44">
        <f>DCF!B22</f>
        <v>91.69</v>
      </c>
      <c r="D14" s="3">
        <f>DCF!B23</f>
        <v>4994</v>
      </c>
      <c r="E14" s="99">
        <f t="shared" ref="E14" si="7">C14*D14</f>
        <v>457899.86</v>
      </c>
      <c r="F14" s="24">
        <f>DCF!B25</f>
        <v>46585</v>
      </c>
      <c r="G14" s="24">
        <f>DCF!B42</f>
        <v>37416</v>
      </c>
      <c r="H14" s="18">
        <f t="shared" ref="H14" si="8">E14+F14-G14</f>
        <v>467068.86</v>
      </c>
      <c r="I14" s="24">
        <f>'Income Statement'!D2</f>
        <v>52853</v>
      </c>
      <c r="J14" s="24">
        <f>'Income Statement'!D9+'Cash Flow Statement'!D6+'Cash Flow Statement'!D9</f>
        <v>9492</v>
      </c>
      <c r="K14" s="24">
        <f>'Income Statement'!D16</f>
        <v>-267</v>
      </c>
      <c r="L14" s="92">
        <f t="shared" ref="L14" si="9">H14/I14</f>
        <v>8.8371305318524964</v>
      </c>
      <c r="M14" s="92">
        <f t="shared" ref="M14" si="10">H14/J14</f>
        <v>49.206580278128946</v>
      </c>
      <c r="N14" s="92" t="str">
        <f t="shared" ref="N14" si="11">IF(K14&gt;0,E14/K14,"n/m")</f>
        <v>n/m</v>
      </c>
    </row>
    <row r="15" spans="1:14">
      <c r="D15" s="27"/>
    </row>
    <row r="16" spans="1:14">
      <c r="A16" s="2" t="s">
        <v>384</v>
      </c>
    </row>
    <row r="17" spans="1:8">
      <c r="A17" t="s">
        <v>385</v>
      </c>
      <c r="B17" t="s">
        <v>386</v>
      </c>
      <c r="C17" t="s">
        <v>387</v>
      </c>
      <c r="D17" t="s">
        <v>388</v>
      </c>
      <c r="E17" t="s">
        <v>389</v>
      </c>
      <c r="F17" t="s">
        <v>390</v>
      </c>
      <c r="G17" t="s">
        <v>391</v>
      </c>
      <c r="H17" t="s">
        <v>392</v>
      </c>
    </row>
    <row r="18" spans="1:8">
      <c r="A18" t="s">
        <v>364</v>
      </c>
      <c r="B18" s="18">
        <f>J14</f>
        <v>9492</v>
      </c>
      <c r="C18" s="99">
        <f>M11</f>
        <v>27.103599705877656</v>
      </c>
      <c r="D18" s="85">
        <f>B18*C18</f>
        <v>257267.3684081907</v>
      </c>
      <c r="E18" s="18">
        <f>F14</f>
        <v>46585</v>
      </c>
      <c r="F18" s="18">
        <f>G14</f>
        <v>37416</v>
      </c>
      <c r="G18" s="99">
        <f>D18-E18+F18</f>
        <v>248098.3684081907</v>
      </c>
      <c r="H18" s="99">
        <f>G18/D14</f>
        <v>49.679288828232018</v>
      </c>
    </row>
    <row r="19" spans="1:8">
      <c r="A19" t="s">
        <v>363</v>
      </c>
      <c r="B19" s="18">
        <f>I14</f>
        <v>52853</v>
      </c>
      <c r="C19" s="99">
        <f>L11</f>
        <v>15.60837036907877</v>
      </c>
      <c r="D19" s="85">
        <f>B19*C19</f>
        <v>824949.19911692024</v>
      </c>
      <c r="E19" s="18">
        <f>F14</f>
        <v>46585</v>
      </c>
      <c r="F19" s="18">
        <f>G14</f>
        <v>37416</v>
      </c>
      <c r="G19" s="99">
        <f>D19-E19+F19</f>
        <v>815780.19911692024</v>
      </c>
      <c r="H19" s="99">
        <f>G19/D14</f>
        <v>163.35206229814182</v>
      </c>
    </row>
    <row r="21" spans="1:8">
      <c r="A21" t="s">
        <v>393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E95C-26FA-5440-898A-B238CEF33C44}">
  <dimension ref="A1:E8"/>
  <sheetViews>
    <sheetView tabSelected="1" workbookViewId="0">
      <selection activeCell="K20" sqref="K20"/>
    </sheetView>
  </sheetViews>
  <sheetFormatPr baseColWidth="10" defaultRowHeight="16"/>
  <cols>
    <col min="1" max="1" width="34.6640625" bestFit="1" customWidth="1"/>
    <col min="2" max="2" width="16.33203125" bestFit="1" customWidth="1"/>
    <col min="3" max="3" width="29.1640625" bestFit="1" customWidth="1"/>
  </cols>
  <sheetData>
    <row r="1" spans="1:5">
      <c r="A1" t="s">
        <v>394</v>
      </c>
    </row>
    <row r="3" spans="1:5">
      <c r="A3" t="s">
        <v>385</v>
      </c>
      <c r="B3" t="s">
        <v>395</v>
      </c>
      <c r="C3" t="s">
        <v>396</v>
      </c>
    </row>
    <row r="4" spans="1:5">
      <c r="A4" t="s">
        <v>397</v>
      </c>
      <c r="B4" s="104">
        <f>DCF!B45</f>
        <v>5.273234321167692</v>
      </c>
      <c r="C4" t="s">
        <v>398</v>
      </c>
    </row>
    <row r="5" spans="1:5">
      <c r="A5" t="s">
        <v>400</v>
      </c>
      <c r="B5" s="92">
        <f>Comps!H18</f>
        <v>49.679288828232018</v>
      </c>
      <c r="C5" t="s">
        <v>399</v>
      </c>
    </row>
    <row r="6" spans="1:5">
      <c r="A6" t="s">
        <v>401</v>
      </c>
      <c r="B6" s="92">
        <f>Comps!H19</f>
        <v>163.35206229814182</v>
      </c>
      <c r="C6" t="s">
        <v>399</v>
      </c>
    </row>
    <row r="7" spans="1:5">
      <c r="A7" t="s">
        <v>402</v>
      </c>
      <c r="B7" s="104">
        <f>DCF!B22</f>
        <v>91.69</v>
      </c>
      <c r="C7" t="s">
        <v>403</v>
      </c>
    </row>
    <row r="8" spans="1:5">
      <c r="A8" t="s">
        <v>404</v>
      </c>
      <c r="B8" s="104">
        <f>DCF!E53</f>
        <v>14.479720777081734</v>
      </c>
      <c r="C8" t="s">
        <v>405</v>
      </c>
      <c r="D8" s="59"/>
      <c r="E8" s="59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A037-D7C7-5D40-9A69-206DB0A396C5}">
  <dimension ref="A1:C14"/>
  <sheetViews>
    <sheetView workbookViewId="0">
      <selection activeCell="C10" sqref="C10"/>
    </sheetView>
  </sheetViews>
  <sheetFormatPr baseColWidth="10" defaultRowHeight="16"/>
  <cols>
    <col min="1" max="1" width="44" bestFit="1" customWidth="1"/>
    <col min="2" max="2" width="16.5" bestFit="1" customWidth="1"/>
    <col min="3" max="3" width="11.83203125" bestFit="1" customWidth="1"/>
  </cols>
  <sheetData>
    <row r="1" spans="1:3">
      <c r="A1" t="s">
        <v>425</v>
      </c>
    </row>
    <row r="3" spans="1:3">
      <c r="A3" t="s">
        <v>426</v>
      </c>
      <c r="B3" t="s">
        <v>427</v>
      </c>
      <c r="C3" t="s">
        <v>428</v>
      </c>
    </row>
    <row r="4" spans="1:3">
      <c r="A4" t="s">
        <v>429</v>
      </c>
      <c r="B4" cm="1">
        <f t="array" ref="B4">SUMPRODUCT(ABS('Balance Sheet'!B39:I39))</f>
        <v>0</v>
      </c>
      <c r="C4">
        <f>IF(B4&lt;0.5,1,0)</f>
        <v>1</v>
      </c>
    </row>
    <row r="5" spans="1:3">
      <c r="A5" t="s">
        <v>430</v>
      </c>
      <c r="B5" cm="1">
        <f t="array" ref="B5">SUMPRODUCT(ABS('Working Capital'!E18:I18))</f>
        <v>5.4569682106375694E-12</v>
      </c>
      <c r="C5">
        <f t="shared" ref="C5:C9" si="0">IF(B5&lt;0.5,1,0)</f>
        <v>1</v>
      </c>
    </row>
    <row r="6" spans="1:3">
      <c r="A6" t="s">
        <v>431</v>
      </c>
      <c r="B6" cm="1">
        <f t="array" ref="B6">ABS('Debt Schedule'!D10+SUMPRODUCT(ABS('Debt Schedule'!D14:I14)))</f>
        <v>0</v>
      </c>
      <c r="C6">
        <f t="shared" si="0"/>
        <v>1</v>
      </c>
    </row>
    <row r="7" spans="1:3">
      <c r="A7" t="s">
        <v>432</v>
      </c>
      <c r="B7" cm="1">
        <f t="array" ref="B7">SUMPRODUCT(ABS('PP&amp;E Schedule'!E12:I12))</f>
        <v>0</v>
      </c>
      <c r="C7">
        <f t="shared" si="0"/>
        <v>1</v>
      </c>
    </row>
    <row r="8" spans="1:3">
      <c r="A8" t="s">
        <v>433</v>
      </c>
      <c r="B8" cm="1">
        <f t="array" ref="B8">SUMPRODUCT(ABS('Income Statement'!B32:D35))+SUMPRODUCT(ABS('Balance Sheet'!B49:D54))+SUMPRODUCT(ABS('Cash Flow Statement'!B63:D68))</f>
        <v>0</v>
      </c>
      <c r="C8">
        <f t="shared" si="0"/>
        <v>1</v>
      </c>
    </row>
    <row r="9" spans="1:3">
      <c r="A9" t="s">
        <v>434</v>
      </c>
      <c r="B9" cm="1">
        <f t="array" ref="B9">SUMPRODUCT(ABS('Share Count'!F5:I5-'Share Count'!E8:H8))</f>
        <v>0</v>
      </c>
      <c r="C9">
        <f t="shared" si="0"/>
        <v>1</v>
      </c>
    </row>
    <row r="10" spans="1:3">
      <c r="A10" t="s">
        <v>435</v>
      </c>
      <c r="B10" s="100">
        <f>DCF!B32-DCF!B31</f>
        <v>0.1228732650331667</v>
      </c>
      <c r="C10">
        <f>IF(B10&gt;0,1,0)</f>
        <v>1</v>
      </c>
    </row>
    <row r="11" spans="1:3">
      <c r="A11" t="s">
        <v>436</v>
      </c>
      <c r="B11" s="99">
        <f>ABS('Valuation Summary'!B4-DCF!B45)+ABS('Valuation Summary'!B5-Comps!H18)+ABS('Valuation Summary'!B6-Comps!H19)+ABS('Valuation Summary'!B7-DCF!B22)</f>
        <v>0</v>
      </c>
      <c r="C11">
        <f>IF(B11&lt;0.5,1,0)</f>
        <v>1</v>
      </c>
    </row>
    <row r="12" spans="1:3">
      <c r="A12" t="s">
        <v>437</v>
      </c>
      <c r="B12" s="98">
        <f>ABS(Sensitivity!B3)+ABS(Sensitivity!B4)+ABS(DCF!B29)</f>
        <v>0</v>
      </c>
      <c r="C12">
        <f>IF(B12&lt;0.000001,1,0)</f>
        <v>1</v>
      </c>
    </row>
    <row r="14" spans="1:3">
      <c r="A14" t="s">
        <v>438</v>
      </c>
      <c r="B14" t="str">
        <f>IF(SUM(C4:C12)=COUNT(C4:C12),"ALL CHECKS PASS","CHECK ERROR")</f>
        <v>ALL CHECKS PASS</v>
      </c>
    </row>
  </sheetData>
  <pageMargins left="0.7" right="0.7" top="0.75" bottom="0.75" header="0.3" footer="0.3"/>
  <ignoredErrors>
    <ignoredError sqref="C1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14DC-196A-8C49-AAC6-83A95ECE214C}">
  <dimension ref="A1:K9"/>
  <sheetViews>
    <sheetView workbookViewId="0">
      <selection activeCell="E12" sqref="E12"/>
    </sheetView>
  </sheetViews>
  <sheetFormatPr baseColWidth="10" defaultRowHeight="16"/>
  <cols>
    <col min="1" max="1" width="54" bestFit="1" customWidth="1"/>
  </cols>
  <sheetData>
    <row r="1" spans="1:11" ht="17">
      <c r="D1" t="s">
        <v>2</v>
      </c>
      <c r="E1" t="s">
        <v>172</v>
      </c>
      <c r="F1" t="s">
        <v>213</v>
      </c>
      <c r="G1" t="s">
        <v>214</v>
      </c>
      <c r="H1" t="s">
        <v>215</v>
      </c>
      <c r="I1" t="s">
        <v>216</v>
      </c>
      <c r="K1" s="58" t="s">
        <v>414</v>
      </c>
    </row>
    <row r="3" spans="1:11">
      <c r="A3" t="s">
        <v>409</v>
      </c>
      <c r="E3" s="52">
        <v>0.01</v>
      </c>
      <c r="F3" s="52">
        <v>0.01</v>
      </c>
      <c r="G3" s="52">
        <v>0.01</v>
      </c>
      <c r="H3" s="52">
        <v>0.01</v>
      </c>
      <c r="I3" s="52">
        <v>0.01</v>
      </c>
    </row>
    <row r="5" spans="1:11">
      <c r="A5" t="s">
        <v>410</v>
      </c>
      <c r="E5">
        <f>D8</f>
        <v>4994</v>
      </c>
      <c r="F5" s="105">
        <f t="shared" ref="F5:I5" si="0">E8</f>
        <v>5043.9399999999996</v>
      </c>
      <c r="G5" s="105">
        <f t="shared" si="0"/>
        <v>5094.3793999999998</v>
      </c>
      <c r="H5" s="105">
        <f t="shared" si="0"/>
        <v>5145.3231939999996</v>
      </c>
      <c r="I5" s="105">
        <f t="shared" si="0"/>
        <v>5196.7764259399992</v>
      </c>
    </row>
    <row r="6" spans="1:11">
      <c r="A6" t="s">
        <v>411</v>
      </c>
      <c r="E6" s="105">
        <f>E5*E3</f>
        <v>49.94</v>
      </c>
      <c r="F6" s="105">
        <f t="shared" ref="F6:I6" si="1">F5*F3</f>
        <v>50.439399999999999</v>
      </c>
      <c r="G6" s="105">
        <f t="shared" si="1"/>
        <v>50.943793999999997</v>
      </c>
      <c r="H6" s="105">
        <f t="shared" si="1"/>
        <v>51.453231939999995</v>
      </c>
      <c r="I6" s="105">
        <f t="shared" si="1"/>
        <v>51.967764259399992</v>
      </c>
    </row>
    <row r="7" spans="1:11">
      <c r="A7" t="s">
        <v>412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</row>
    <row r="8" spans="1:11">
      <c r="A8" t="s">
        <v>413</v>
      </c>
      <c r="B8" s="27"/>
      <c r="C8" s="27"/>
      <c r="D8" s="27">
        <v>4994</v>
      </c>
      <c r="E8" s="105">
        <f>E5+E6-E7</f>
        <v>5043.9399999999996</v>
      </c>
      <c r="F8" s="105">
        <f t="shared" ref="F8:I8" si="2">F5+F6-F7</f>
        <v>5094.3793999999998</v>
      </c>
      <c r="G8" s="105">
        <f t="shared" si="2"/>
        <v>5145.3231939999996</v>
      </c>
      <c r="H8" s="105">
        <f t="shared" si="2"/>
        <v>5196.7764259399992</v>
      </c>
      <c r="I8" s="105">
        <f t="shared" si="2"/>
        <v>5248.7441901993989</v>
      </c>
    </row>
    <row r="9" spans="1:11">
      <c r="A9" t="s">
        <v>415</v>
      </c>
      <c r="E9" s="105">
        <f>AVERAGE(E5,E8)</f>
        <v>5018.9699999999993</v>
      </c>
      <c r="F9" s="105">
        <f t="shared" ref="F9:I9" si="3">AVERAGE(F5,F8)</f>
        <v>5069.1597000000002</v>
      </c>
      <c r="G9" s="105">
        <f t="shared" si="3"/>
        <v>5119.8512969999992</v>
      </c>
      <c r="H9" s="105">
        <f t="shared" si="3"/>
        <v>5171.0498099699998</v>
      </c>
      <c r="I9" s="105">
        <f t="shared" si="3"/>
        <v>5222.760308069699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73B-636B-2A4A-9FE1-A7B5CEFBC533}">
  <dimension ref="A1:A39"/>
  <sheetViews>
    <sheetView workbookViewId="0">
      <selection activeCell="A42" sqref="A42"/>
    </sheetView>
  </sheetViews>
  <sheetFormatPr baseColWidth="10" defaultRowHeight="16"/>
  <cols>
    <col min="1" max="1" width="255.6640625" customWidth="1"/>
  </cols>
  <sheetData>
    <row r="1" spans="1:1" ht="20" customHeight="1">
      <c r="A1" s="2" t="s">
        <v>160</v>
      </c>
    </row>
    <row r="3" spans="1:1">
      <c r="A3" s="2" t="s">
        <v>161</v>
      </c>
    </row>
    <row r="4" spans="1:1">
      <c r="A4" t="s">
        <v>162</v>
      </c>
    </row>
    <row r="5" spans="1:1">
      <c r="A5" t="s">
        <v>163</v>
      </c>
    </row>
    <row r="7" spans="1:1">
      <c r="A7" s="2" t="s">
        <v>164</v>
      </c>
    </row>
    <row r="8" spans="1:1">
      <c r="A8" t="s">
        <v>165</v>
      </c>
    </row>
    <row r="10" spans="1:1">
      <c r="A10" s="2" t="s">
        <v>166</v>
      </c>
    </row>
    <row r="11" spans="1:1">
      <c r="A11" t="s">
        <v>167</v>
      </c>
    </row>
    <row r="13" spans="1:1">
      <c r="A13" s="2" t="s">
        <v>168</v>
      </c>
    </row>
    <row r="14" spans="1:1">
      <c r="A14" t="s">
        <v>169</v>
      </c>
    </row>
    <row r="15" spans="1:1">
      <c r="A15" t="s">
        <v>170</v>
      </c>
    </row>
    <row r="17" spans="1:1">
      <c r="A17" s="2" t="s">
        <v>171</v>
      </c>
    </row>
    <row r="18" spans="1:1">
      <c r="A18" t="s">
        <v>190</v>
      </c>
    </row>
    <row r="19" spans="1:1">
      <c r="A19" t="s">
        <v>191</v>
      </c>
    </row>
    <row r="20" spans="1:1">
      <c r="A20" t="s">
        <v>192</v>
      </c>
    </row>
    <row r="21" spans="1:1">
      <c r="A21" t="s">
        <v>193</v>
      </c>
    </row>
    <row r="22" spans="1:1">
      <c r="A22" t="s">
        <v>300</v>
      </c>
    </row>
    <row r="23" spans="1:1">
      <c r="A23" t="s">
        <v>194</v>
      </c>
    </row>
    <row r="24" spans="1:1">
      <c r="A24" t="s">
        <v>201</v>
      </c>
    </row>
    <row r="25" spans="1:1">
      <c r="A25" t="s">
        <v>209</v>
      </c>
    </row>
    <row r="26" spans="1:1">
      <c r="A26" t="s">
        <v>301</v>
      </c>
    </row>
    <row r="27" spans="1:1">
      <c r="A27" t="s">
        <v>212</v>
      </c>
    </row>
    <row r="28" spans="1:1" ht="17">
      <c r="A28" s="58" t="s">
        <v>218</v>
      </c>
    </row>
    <row r="29" spans="1:1">
      <c r="A29" t="s">
        <v>243</v>
      </c>
    </row>
    <row r="30" spans="1:1">
      <c r="A30" t="s">
        <v>242</v>
      </c>
    </row>
    <row r="31" spans="1:1">
      <c r="A31" t="s">
        <v>255</v>
      </c>
    </row>
    <row r="32" spans="1:1">
      <c r="A32" t="s">
        <v>275</v>
      </c>
    </row>
    <row r="33" spans="1:1">
      <c r="A33" t="s">
        <v>276</v>
      </c>
    </row>
    <row r="34" spans="1:1">
      <c r="A34" t="s">
        <v>299</v>
      </c>
    </row>
    <row r="35" spans="1:1">
      <c r="A35" t="s">
        <v>304</v>
      </c>
    </row>
    <row r="36" spans="1:1">
      <c r="A36" t="s">
        <v>306</v>
      </c>
    </row>
    <row r="37" spans="1:1">
      <c r="A37" t="s">
        <v>406</v>
      </c>
    </row>
    <row r="38" spans="1:1">
      <c r="A38" t="s">
        <v>407</v>
      </c>
    </row>
    <row r="39" spans="1:1">
      <c r="A39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Assumptions</vt:lpstr>
      <vt:lpstr>Income Statement</vt:lpstr>
      <vt:lpstr>Balance Sheet</vt:lpstr>
      <vt:lpstr>Cash Flow Statement</vt:lpstr>
      <vt:lpstr>Scenarios</vt:lpstr>
      <vt:lpstr>Payback</vt:lpstr>
      <vt:lpstr>PP&amp;E Schedule</vt:lpstr>
      <vt:lpstr>Working Capital</vt:lpstr>
      <vt:lpstr>Debt Schedule</vt:lpstr>
      <vt:lpstr>Credit Ratios</vt:lpstr>
      <vt:lpstr>Sensitivity</vt:lpstr>
      <vt:lpstr>DCF</vt:lpstr>
      <vt:lpstr>Comps</vt:lpstr>
      <vt:lpstr>Valuation Summary</vt:lpstr>
      <vt:lpstr>Checks</vt:lpstr>
      <vt:lpstr>Share Count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2026-10-09T06:46:51Z</dcterms:created>
  <dcterms:modified xsi:type="dcterms:W3CDTF">2026-10-23T15:24:37Z</dcterms:modified>
  <cp:category/>
</cp:coreProperties>
</file>